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3426951\Desktop\akoz\"/>
    </mc:Choice>
  </mc:AlternateContent>
  <xr:revisionPtr revIDLastSave="0" documentId="13_ncr:1_{5727BC87-29E2-4E64-B6A6-2DDA13F29933}" xr6:coauthVersionLast="47" xr6:coauthVersionMax="47" xr10:uidLastSave="{00000000-0000-0000-0000-000000000000}"/>
  <bookViews>
    <workbookView xWindow="-110" yWindow="-110" windowWidth="19420" windowHeight="11500" tabRatio="731" xr2:uid="{00000000-000D-0000-FFFF-FFFF00000000}"/>
  </bookViews>
  <sheets>
    <sheet name="Yıldırım" sheetId="1" r:id="rId1"/>
    <sheet name="Osmangazi" sheetId="2" r:id="rId2"/>
    <sheet name="Nilüfer" sheetId="3" r:id="rId3"/>
    <sheet name="İnegöl" sheetId="4" r:id="rId4"/>
    <sheet name="Yenişehir" sheetId="5" r:id="rId5"/>
    <sheet name="Orhangazi" sheetId="6" r:id="rId6"/>
    <sheet name="Mudanya" sheetId="9" r:id="rId7"/>
    <sheet name="Kestel" sheetId="11" r:id="rId8"/>
    <sheet name="Gürsu" sheetId="15" r:id="rId9"/>
    <sheet name="Gemlik" sheetId="16" r:id="rId10"/>
  </sheets>
  <definedNames>
    <definedName name="_xlnm._FilterDatabase" localSheetId="9" hidden="1">Gemlik!$B$1:$C$36</definedName>
    <definedName name="_xlnm._FilterDatabase" localSheetId="8" hidden="1">Gürsu!$B$1:$C$16</definedName>
    <definedName name="_xlnm._FilterDatabase" localSheetId="3" hidden="1">İnegöl!$B$1:$C$117</definedName>
    <definedName name="_xlnm._FilterDatabase" localSheetId="7" hidden="1">Kestel!$B$1:$C$36</definedName>
    <definedName name="_xlnm._FilterDatabase" localSheetId="6" hidden="1">Mudanya!$B$1:$C$48</definedName>
    <definedName name="_xlnm._FilterDatabase" localSheetId="2" hidden="1">Nilüfer!$B$1:$C$65</definedName>
    <definedName name="_xlnm._FilterDatabase" localSheetId="5" hidden="1">Orhangazi!$B$1:$C$32</definedName>
    <definedName name="_xlnm._FilterDatabase" localSheetId="1" hidden="1">Osmangazi!$B$1:$C$137</definedName>
    <definedName name="_xlnm._FilterDatabase" localSheetId="4" hidden="1">Yenişehir!$B$1:$C$72</definedName>
    <definedName name="_xlnm._FilterDatabase" localSheetId="0" hidden="1">Yıldırım!$B$1:$C$72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6" l="1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<sst xmlns="http://schemas.openxmlformats.org/spreadsheetml/2006/main" count="1903" uniqueCount="1221">
  <si>
    <t>Mahalle</t>
  </si>
  <si>
    <t>Koordinat</t>
  </si>
  <si>
    <t>152evler</t>
  </si>
  <si>
    <t>19 Mayıs</t>
  </si>
  <si>
    <t>Akbaşlar</t>
  </si>
  <si>
    <t>Adalet</t>
  </si>
  <si>
    <t>75. Yıl</t>
  </si>
  <si>
    <t>23 Nisan</t>
  </si>
  <si>
    <t>Akhisar</t>
  </si>
  <si>
    <t>Akçağlayan</t>
  </si>
  <si>
    <t>Ahmetbey</t>
  </si>
  <si>
    <t>29 Ekim</t>
  </si>
  <si>
    <t>Akıncılar</t>
  </si>
  <si>
    <t>Anadolu</t>
  </si>
  <si>
    <t>30 Ağustos Zafer</t>
  </si>
  <si>
    <t>Alibey</t>
  </si>
  <si>
    <t>Ahmetpaşa</t>
  </si>
  <si>
    <t>Arabayatağı</t>
  </si>
  <si>
    <t>Aşağıballık</t>
  </si>
  <si>
    <t>Ahmet Yesevi</t>
  </si>
  <si>
    <t>Akpınar</t>
  </si>
  <si>
    <t>Bağlaraltı</t>
  </si>
  <si>
    <t>Babaoğlu</t>
  </si>
  <si>
    <t>Akçalar</t>
  </si>
  <si>
    <t>Aksungur</t>
  </si>
  <si>
    <t>Balaban</t>
  </si>
  <si>
    <t>Bahariye</t>
  </si>
  <si>
    <t>Alaaddinbey</t>
  </si>
  <si>
    <t>Baruthane</t>
  </si>
  <si>
    <t>Aktarhüssam</t>
  </si>
  <si>
    <t>Bahçekaya</t>
  </si>
  <si>
    <t>Altınşehir</t>
  </si>
  <si>
    <t>Beyazıt</t>
  </si>
  <si>
    <t>Alaaddin</t>
  </si>
  <si>
    <t>Baykoca</t>
  </si>
  <si>
    <t>Çelebi Mehmet</t>
  </si>
  <si>
    <t>Ataevler</t>
  </si>
  <si>
    <t>Alacahırka</t>
  </si>
  <si>
    <t>Bayramşah</t>
  </si>
  <si>
    <t>Çınarönü</t>
  </si>
  <si>
    <t>Alacamescit</t>
  </si>
  <si>
    <t>Atlas</t>
  </si>
  <si>
    <t>Bilalköy</t>
  </si>
  <si>
    <t>Cumalıkızık</t>
  </si>
  <si>
    <t>Alaşarköy</t>
  </si>
  <si>
    <t>Boğazköy</t>
  </si>
  <si>
    <t>Ayvaköy</t>
  </si>
  <si>
    <t>Davutdede</t>
  </si>
  <si>
    <t>Alemdar</t>
  </si>
  <si>
    <t>Burhaniye</t>
  </si>
  <si>
    <t>Badırga</t>
  </si>
  <si>
    <t>Davutkadı</t>
  </si>
  <si>
    <t>Alipaşa</t>
  </si>
  <si>
    <t>Cemiyet</t>
  </si>
  <si>
    <t>Değirmenlikızık</t>
  </si>
  <si>
    <t>Balat</t>
  </si>
  <si>
    <t>Altınova</t>
  </si>
  <si>
    <t>Cerrah</t>
  </si>
  <si>
    <t>Altıparmak</t>
  </si>
  <si>
    <t>Değirmenönü</t>
  </si>
  <si>
    <t>Balkan</t>
  </si>
  <si>
    <t>Cuma</t>
  </si>
  <si>
    <t>Armutköy</t>
  </si>
  <si>
    <t>Cumhuriyet</t>
  </si>
  <si>
    <t>Demetevler</t>
  </si>
  <si>
    <t>Barış</t>
  </si>
  <si>
    <t>Atıcılar</t>
  </si>
  <si>
    <t>Çavuşköy</t>
  </si>
  <si>
    <t>Duaçınarı</t>
  </si>
  <si>
    <t>Başköy</t>
  </si>
  <si>
    <t>Avdancık</t>
  </si>
  <si>
    <t>Çaylıca</t>
  </si>
  <si>
    <t>Eğitim</t>
  </si>
  <si>
    <t>Beşevler</t>
  </si>
  <si>
    <t>Bağlarbaşı</t>
  </si>
  <si>
    <t>Çayyaka</t>
  </si>
  <si>
    <t>Emirsultan</t>
  </si>
  <si>
    <t>Bağlı</t>
  </si>
  <si>
    <t>Büyükbalıklı</t>
  </si>
  <si>
    <t>Çeltikçi</t>
  </si>
  <si>
    <t>Erikli</t>
  </si>
  <si>
    <t>Bahar</t>
  </si>
  <si>
    <t>Çiftlikköy</t>
  </si>
  <si>
    <t>Ertuğrulgazi</t>
  </si>
  <si>
    <t>Çalı</t>
  </si>
  <si>
    <t>Başaran</t>
  </si>
  <si>
    <t>Çitli</t>
  </si>
  <si>
    <t>Esenevler</t>
  </si>
  <si>
    <t>Büyükdeliller</t>
  </si>
  <si>
    <t>Çamlıca</t>
  </si>
  <si>
    <t>Deydinler</t>
  </si>
  <si>
    <t>Fidyekızık</t>
  </si>
  <si>
    <t>Çağlayan</t>
  </si>
  <si>
    <t>Çatalağıl</t>
  </si>
  <si>
    <t>Dipsizgöl</t>
  </si>
  <si>
    <t>Güllük</t>
  </si>
  <si>
    <t>Çaybaşı</t>
  </si>
  <si>
    <t>Doğanyurdu</t>
  </si>
  <si>
    <t>Çaylı</t>
  </si>
  <si>
    <t>Hacivat</t>
  </si>
  <si>
    <t>Çekirge</t>
  </si>
  <si>
    <t>Dömez</t>
  </si>
  <si>
    <t>Hacıseyfettin</t>
  </si>
  <si>
    <t>Çeltikköy</t>
  </si>
  <si>
    <t>Edebey</t>
  </si>
  <si>
    <t>Hamamlıkızık</t>
  </si>
  <si>
    <t>Çiftehavuzlar</t>
  </si>
  <si>
    <t>Dağyenice</t>
  </si>
  <si>
    <t>Elmaçayır</t>
  </si>
  <si>
    <t>Hocataşkın</t>
  </si>
  <si>
    <t>Çirişhane</t>
  </si>
  <si>
    <t>Demirci</t>
  </si>
  <si>
    <t>İsabey</t>
  </si>
  <si>
    <t>Çırpan</t>
  </si>
  <si>
    <t>Esenköy</t>
  </si>
  <si>
    <t>Doğanköy</t>
  </si>
  <si>
    <t>Kaplıkaya</t>
  </si>
  <si>
    <t>Esentepe</t>
  </si>
  <si>
    <t>Karaağaç</t>
  </si>
  <si>
    <t>Çukurcaköy</t>
  </si>
  <si>
    <t>Dumlupınar</t>
  </si>
  <si>
    <t>Eski Bahçekaya</t>
  </si>
  <si>
    <t>Karamazak</t>
  </si>
  <si>
    <t>Dağakça</t>
  </si>
  <si>
    <t>Ertuğrul</t>
  </si>
  <si>
    <t>Eskikaracakaya</t>
  </si>
  <si>
    <t>Karapınar</t>
  </si>
  <si>
    <t>Eskiköy</t>
  </si>
  <si>
    <t>Demirkapı</t>
  </si>
  <si>
    <t>Kazım Karabekir</t>
  </si>
  <si>
    <t>Eymir</t>
  </si>
  <si>
    <t>Demirtaş Barbaros</t>
  </si>
  <si>
    <t>Fadıllı</t>
  </si>
  <si>
    <t>Kurtoğlu</t>
  </si>
  <si>
    <t>Fatih</t>
  </si>
  <si>
    <t>Maltepe</t>
  </si>
  <si>
    <t>Demirtaş Cumhuriyet</t>
  </si>
  <si>
    <t>Fevziye</t>
  </si>
  <si>
    <t>Fethiye</t>
  </si>
  <si>
    <t>Mehmetakifersoy</t>
  </si>
  <si>
    <t>Fındıklı</t>
  </si>
  <si>
    <t>Demirtaş Dumlupınar</t>
  </si>
  <si>
    <t>Gökçe</t>
  </si>
  <si>
    <t>Mevlana</t>
  </si>
  <si>
    <t>Gazelli</t>
  </si>
  <si>
    <t>Demirtaş Sakarya</t>
  </si>
  <si>
    <t>Meydancık</t>
  </si>
  <si>
    <t>Gedikpınar</t>
  </si>
  <si>
    <t>Gölyazı</t>
  </si>
  <si>
    <t>Demirtaşpaşa</t>
  </si>
  <si>
    <t>Millet</t>
  </si>
  <si>
    <t>Gülbahçe</t>
  </si>
  <si>
    <t>Görükle</t>
  </si>
  <si>
    <t>Mimarsinan</t>
  </si>
  <si>
    <t>Dereçavuşköy</t>
  </si>
  <si>
    <t>Gündüzlü</t>
  </si>
  <si>
    <t>Gümüştepe</t>
  </si>
  <si>
    <t>Mollaarap</t>
  </si>
  <si>
    <t>Dikkaldırım</t>
  </si>
  <si>
    <t>Güneykestane</t>
  </si>
  <si>
    <t>Musababa</t>
  </si>
  <si>
    <t>Güzelyurt</t>
  </si>
  <si>
    <t>Doburca</t>
  </si>
  <si>
    <t>Güngören</t>
  </si>
  <si>
    <t>Hacıkara</t>
  </si>
  <si>
    <t>Doğanbey</t>
  </si>
  <si>
    <t>Namazgah</t>
  </si>
  <si>
    <t>Hasanağa</t>
  </si>
  <si>
    <t>Halhalca</t>
  </si>
  <si>
    <t>Doğancı</t>
  </si>
  <si>
    <t>Ortabağlar</t>
  </si>
  <si>
    <t>İhsaniye</t>
  </si>
  <si>
    <t>Hamamlı</t>
  </si>
  <si>
    <t>Doğanevler</t>
  </si>
  <si>
    <t>Piremir</t>
  </si>
  <si>
    <t>Hamidiye</t>
  </si>
  <si>
    <t>İnegazi</t>
  </si>
  <si>
    <t>Dürdane</t>
  </si>
  <si>
    <t>Sakarya</t>
  </si>
  <si>
    <t>Hamitabat</t>
  </si>
  <si>
    <t>İrfaniye</t>
  </si>
  <si>
    <t>Ebu İshak</t>
  </si>
  <si>
    <t>Hamzabey</t>
  </si>
  <si>
    <t>Samanlı</t>
  </si>
  <si>
    <t>Elmaçukur</t>
  </si>
  <si>
    <t>Işıktepe</t>
  </si>
  <si>
    <t>Hasanpaşa</t>
  </si>
  <si>
    <t>Selçukbey</t>
  </si>
  <si>
    <t>Elmasbahçeler</t>
  </si>
  <si>
    <t>Hayriye</t>
  </si>
  <si>
    <t>Kadriye</t>
  </si>
  <si>
    <t>Selimzade</t>
  </si>
  <si>
    <t>Emek Adnan Menderes</t>
  </si>
  <si>
    <t>Hilmiye</t>
  </si>
  <si>
    <t>Sinandede</t>
  </si>
  <si>
    <t>Emek Fatih Sultan Mehmet</t>
  </si>
  <si>
    <t>Karacaoba</t>
  </si>
  <si>
    <t>HocaKöy</t>
  </si>
  <si>
    <t>Şirinevler</t>
  </si>
  <si>
    <t>Emek Zekai Gümüşdiş</t>
  </si>
  <si>
    <t>Karaman</t>
  </si>
  <si>
    <t>Huzur</t>
  </si>
  <si>
    <t>Siteler</t>
  </si>
  <si>
    <t>Kayapa</t>
  </si>
  <si>
    <t>İclaliye</t>
  </si>
  <si>
    <t>Sıracevizler</t>
  </si>
  <si>
    <t>Gaziakdemir</t>
  </si>
  <si>
    <t>Şükraniye</t>
  </si>
  <si>
    <t>Kızılcıklı</t>
  </si>
  <si>
    <t>Geçit</t>
  </si>
  <si>
    <t>Teferrüç</t>
  </si>
  <si>
    <t>İsaören</t>
  </si>
  <si>
    <t>Konak</t>
  </si>
  <si>
    <t>Gökçeören</t>
  </si>
  <si>
    <t>Ulus</t>
  </si>
  <si>
    <t>Karagölet</t>
  </si>
  <si>
    <t>Konaklı</t>
  </si>
  <si>
    <t>Karahasanlar</t>
  </si>
  <si>
    <t>Umurbey</t>
  </si>
  <si>
    <t>Gündoğdu</t>
  </si>
  <si>
    <t>Vakıf</t>
  </si>
  <si>
    <t>Karakadı</t>
  </si>
  <si>
    <t>Korubaşı</t>
  </si>
  <si>
    <t>Güneştepe</t>
  </si>
  <si>
    <t>Karalar</t>
  </si>
  <si>
    <t>Vatan</t>
  </si>
  <si>
    <t>Kültür</t>
  </si>
  <si>
    <t>Kayapınar</t>
  </si>
  <si>
    <t>Güneybayır</t>
  </si>
  <si>
    <t>Yavuzselım</t>
  </si>
  <si>
    <t>Kurtuluş</t>
  </si>
  <si>
    <t>Kemalpaşa</t>
  </si>
  <si>
    <t>Yediselviler</t>
  </si>
  <si>
    <t>Güneybudaklar</t>
  </si>
  <si>
    <t>Kestanealanı</t>
  </si>
  <si>
    <t>Yenımahalle</t>
  </si>
  <si>
    <t>Kuruçeşme</t>
  </si>
  <si>
    <t>Hacı İlyas</t>
  </si>
  <si>
    <t>Kınık</t>
  </si>
  <si>
    <t>Yeşil</t>
  </si>
  <si>
    <t>Hamitler</t>
  </si>
  <si>
    <t>Makşempınarı</t>
  </si>
  <si>
    <t>Kıran</t>
  </si>
  <si>
    <t>Yeşilyayla</t>
  </si>
  <si>
    <t>Kocakonak</t>
  </si>
  <si>
    <t>Minareliçavuş</t>
  </si>
  <si>
    <t>Yiğitler</t>
  </si>
  <si>
    <t>Hocaalizade</t>
  </si>
  <si>
    <t>Yıldırım</t>
  </si>
  <si>
    <t>Konurlar</t>
  </si>
  <si>
    <t>Odunluk</t>
  </si>
  <si>
    <t>Hocahasan</t>
  </si>
  <si>
    <t>Kozluca</t>
  </si>
  <si>
    <t>Yunusemre</t>
  </si>
  <si>
    <t>Özlüce</t>
  </si>
  <si>
    <t>Hüdavendigar</t>
  </si>
  <si>
    <t>Kulaca</t>
  </si>
  <si>
    <t>Zeyniler</t>
  </si>
  <si>
    <t>Hürriyet</t>
  </si>
  <si>
    <t>Kurşunlu</t>
  </si>
  <si>
    <t>Tahtalı</t>
  </si>
  <si>
    <t>Zümrütevler</t>
  </si>
  <si>
    <t>Hüseyinalan</t>
  </si>
  <si>
    <t>Küçükyenice</t>
  </si>
  <si>
    <t>Üçevler</t>
  </si>
  <si>
    <t>Lütfiye</t>
  </si>
  <si>
    <t>İbrahimpaşa</t>
  </si>
  <si>
    <t>Üçpınar</t>
  </si>
  <si>
    <t>Madenköy</t>
  </si>
  <si>
    <t>İnkaya</t>
  </si>
  <si>
    <t>Mahmudiye</t>
  </si>
  <si>
    <t>İntizam</t>
  </si>
  <si>
    <t>Unçukuru</t>
  </si>
  <si>
    <t>Mesudiye</t>
  </si>
  <si>
    <t>İsmetiye</t>
  </si>
  <si>
    <t>Ürünlü</t>
  </si>
  <si>
    <t>Mezit</t>
  </si>
  <si>
    <t>İstiklal</t>
  </si>
  <si>
    <t>Yaylacık</t>
  </si>
  <si>
    <t>Muratbey</t>
  </si>
  <si>
    <t>İvazpaşa</t>
  </si>
  <si>
    <t>Olukman</t>
  </si>
  <si>
    <t>Yolçatı</t>
  </si>
  <si>
    <t>Karabalçık</t>
  </si>
  <si>
    <t>Orhaniye</t>
  </si>
  <si>
    <t>Karaislah</t>
  </si>
  <si>
    <t>Yüzüncüyıl</t>
  </si>
  <si>
    <t>Ortaköy</t>
  </si>
  <si>
    <t>Kavaklı</t>
  </si>
  <si>
    <t>Osmaniye</t>
  </si>
  <si>
    <t>Kayıhan</t>
  </si>
  <si>
    <t>Osmaniyeköy</t>
  </si>
  <si>
    <t>Kemerçeşme</t>
  </si>
  <si>
    <t>Kirazlı</t>
  </si>
  <si>
    <t>Paşaören</t>
  </si>
  <si>
    <t>Kiremitçi</t>
  </si>
  <si>
    <t>Rüştiye</t>
  </si>
  <si>
    <t>Kırcaali</t>
  </si>
  <si>
    <t>Saadet</t>
  </si>
  <si>
    <t>Kocanaip</t>
  </si>
  <si>
    <t>Sarıpınar</t>
  </si>
  <si>
    <t>Koğukçınar</t>
  </si>
  <si>
    <t>Sinanbey</t>
  </si>
  <si>
    <t>Küçükbalıklı</t>
  </si>
  <si>
    <t>Soğukdere</t>
  </si>
  <si>
    <t>Küçükdeliller</t>
  </si>
  <si>
    <t>Süle</t>
  </si>
  <si>
    <t>Süleymaniye</t>
  </si>
  <si>
    <t>Kükürtlü</t>
  </si>
  <si>
    <t>Sulhiye</t>
  </si>
  <si>
    <t>Küplüpınar</t>
  </si>
  <si>
    <t>Sultaniye</t>
  </si>
  <si>
    <t>Sülüklügöl</t>
  </si>
  <si>
    <t>Sungurpaşa</t>
  </si>
  <si>
    <t>Maksem</t>
  </si>
  <si>
    <t>Süpürtü</t>
  </si>
  <si>
    <t>Mehmet Akif</t>
  </si>
  <si>
    <t>Şehitler</t>
  </si>
  <si>
    <t>Mollafenari</t>
  </si>
  <si>
    <t>Şipali</t>
  </si>
  <si>
    <t>Mollagürani</t>
  </si>
  <si>
    <t>Tahtaköprü</t>
  </si>
  <si>
    <t>Muradiye</t>
  </si>
  <si>
    <t>Tekkeköy</t>
  </si>
  <si>
    <t>Mürseller</t>
  </si>
  <si>
    <t>Tokuş</t>
  </si>
  <si>
    <t>Nalbantoğlu</t>
  </si>
  <si>
    <t>Tüfekçikonak</t>
  </si>
  <si>
    <t>Turgutalp</t>
  </si>
  <si>
    <t>Namık Kemal</t>
  </si>
  <si>
    <t>Turgutalpköy</t>
  </si>
  <si>
    <t>Nilüferköy</t>
  </si>
  <si>
    <t>Tuzla</t>
  </si>
  <si>
    <t>Orhanbey</t>
  </si>
  <si>
    <t>Yeni</t>
  </si>
  <si>
    <t>Osmangazi</t>
  </si>
  <si>
    <t>Ovaakça Çeşmebaşı</t>
  </si>
  <si>
    <t>Yenice</t>
  </si>
  <si>
    <t>Ovaakça Eğitim</t>
  </si>
  <si>
    <t>Yeniceköy</t>
  </si>
  <si>
    <t>Yeniköy</t>
  </si>
  <si>
    <t>Ovaakça Merkez</t>
  </si>
  <si>
    <t>Yeniyörük</t>
  </si>
  <si>
    <t>Ovaakça Santral</t>
  </si>
  <si>
    <t>Yiğit</t>
  </si>
  <si>
    <t>Panayır</t>
  </si>
  <si>
    <t>Yukarıballık</t>
  </si>
  <si>
    <t>Pınarbaşı</t>
  </si>
  <si>
    <t>Reyhan</t>
  </si>
  <si>
    <t>Santral Garaj</t>
  </si>
  <si>
    <t>Seç</t>
  </si>
  <si>
    <t>Seferışıklar</t>
  </si>
  <si>
    <t>Şehabettinpaşa</t>
  </si>
  <si>
    <t>Şehreküstü</t>
  </si>
  <si>
    <t>Selamet</t>
  </si>
  <si>
    <t>Selçukgazi</t>
  </si>
  <si>
    <t>Selimiye</t>
  </si>
  <si>
    <t>Sırameşeler</t>
  </si>
  <si>
    <t>Soğanlı</t>
  </si>
  <si>
    <t>Soğukkuyu</t>
  </si>
  <si>
    <t>Soğukpınar</t>
  </si>
  <si>
    <t>Tahtakale</t>
  </si>
  <si>
    <t>Tayakadın</t>
  </si>
  <si>
    <t>Tuna</t>
  </si>
  <si>
    <t>Tuzaklı</t>
  </si>
  <si>
    <t>Tuzpazarı</t>
  </si>
  <si>
    <t>Ulu</t>
  </si>
  <si>
    <t>Uluçam</t>
  </si>
  <si>
    <t>Veysel Karani</t>
  </si>
  <si>
    <t>Yahşibey</t>
  </si>
  <si>
    <t>Yenibağlar</t>
  </si>
  <si>
    <t>Yeniceabat</t>
  </si>
  <si>
    <t>Yenikaraman</t>
  </si>
  <si>
    <t>Yenikent</t>
  </si>
  <si>
    <t>Yeşilova</t>
  </si>
  <si>
    <t>Yiğitali</t>
  </si>
  <si>
    <t>Yunuseli</t>
  </si>
  <si>
    <t>Zafer</t>
  </si>
  <si>
    <t>Afşar</t>
  </si>
  <si>
    <t>Akbıyık</t>
  </si>
  <si>
    <t>Akçapınar</t>
  </si>
  <si>
    <t>Akdere</t>
  </si>
  <si>
    <t>Alaylı</t>
  </si>
  <si>
    <t>Ayaz</t>
  </si>
  <si>
    <t>Aydoğdu</t>
  </si>
  <si>
    <t>Barcın</t>
  </si>
  <si>
    <t>Beypınar</t>
  </si>
  <si>
    <t>Burcun</t>
  </si>
  <si>
    <t>Çamönü</t>
  </si>
  <si>
    <t>Çardak</t>
  </si>
  <si>
    <t>Çayır</t>
  </si>
  <si>
    <t>Çayırlı</t>
  </si>
  <si>
    <t>Çelebi</t>
  </si>
  <si>
    <t>Çiçeközü</t>
  </si>
  <si>
    <t>Cihadiye</t>
  </si>
  <si>
    <t>Demirboğa</t>
  </si>
  <si>
    <t>Dereköy</t>
  </si>
  <si>
    <t>Ebeköy</t>
  </si>
  <si>
    <t>Eğerce</t>
  </si>
  <si>
    <t>Gökçesu</t>
  </si>
  <si>
    <t>Gündoğan</t>
  </si>
  <si>
    <t>Günece</t>
  </si>
  <si>
    <t>Hıdırbali</t>
  </si>
  <si>
    <t>İncirli</t>
  </si>
  <si>
    <t>Karaamca</t>
  </si>
  <si>
    <t>Karabahadır</t>
  </si>
  <si>
    <t>Karacaahmet</t>
  </si>
  <si>
    <t>Karacaali</t>
  </si>
  <si>
    <t>Karaköy</t>
  </si>
  <si>
    <t>Karasıl</t>
  </si>
  <si>
    <t>Kirazlıyayla</t>
  </si>
  <si>
    <t>Kıblepınar</t>
  </si>
  <si>
    <t>Kızılhisar</t>
  </si>
  <si>
    <t>Kızılköy</t>
  </si>
  <si>
    <t>Köprühisar</t>
  </si>
  <si>
    <t>Koyunhisar</t>
  </si>
  <si>
    <t>Kozdere</t>
  </si>
  <si>
    <t>Marmaracık</t>
  </si>
  <si>
    <t>Mecidiye</t>
  </si>
  <si>
    <t>Menteşe</t>
  </si>
  <si>
    <t>Papatya</t>
  </si>
  <si>
    <t>Paşayayla</t>
  </si>
  <si>
    <t>Reşadiye</t>
  </si>
  <si>
    <t>Söylemiş</t>
  </si>
  <si>
    <t>Subaşı</t>
  </si>
  <si>
    <t>Tabakhane</t>
  </si>
  <si>
    <t>Terziler</t>
  </si>
  <si>
    <t>Toprakdere</t>
  </si>
  <si>
    <t>Toprakocak</t>
  </si>
  <si>
    <t>Ulucami</t>
  </si>
  <si>
    <t>Yarhisar</t>
  </si>
  <si>
    <t>Akharem</t>
  </si>
  <si>
    <t>Yazılı</t>
  </si>
  <si>
    <t>Arapzade</t>
  </si>
  <si>
    <t>Yenigün</t>
  </si>
  <si>
    <t>Bayırköy</t>
  </si>
  <si>
    <t>Çakırlı</t>
  </si>
  <si>
    <t>Camiikebir</t>
  </si>
  <si>
    <t>Yılmaz</t>
  </si>
  <si>
    <t>Yolören</t>
  </si>
  <si>
    <t>Cihanköy</t>
  </si>
  <si>
    <t>Dutluca</t>
  </si>
  <si>
    <t>Gedelek</t>
  </si>
  <si>
    <t>Gemiç</t>
  </si>
  <si>
    <t>Gölyaka</t>
  </si>
  <si>
    <t>Gürle</t>
  </si>
  <si>
    <t>Hamzalı</t>
  </si>
  <si>
    <t>Heceler</t>
  </si>
  <si>
    <t>Karsak</t>
  </si>
  <si>
    <t>Keramet</t>
  </si>
  <si>
    <t>Narlıca</t>
  </si>
  <si>
    <t>Örnekköy</t>
  </si>
  <si>
    <t>Paşapınar</t>
  </si>
  <si>
    <t>Sölöz</t>
  </si>
  <si>
    <t>Tekke</t>
  </si>
  <si>
    <t>Üreğil</t>
  </si>
  <si>
    <t>Yenigürle</t>
  </si>
  <si>
    <t>Yenisölöz</t>
  </si>
  <si>
    <t>Altıntaş</t>
  </si>
  <si>
    <t>Adaköy</t>
  </si>
  <si>
    <t>Şükriye</t>
  </si>
  <si>
    <t>Fındıcak</t>
  </si>
  <si>
    <t>Şevketiye</t>
  </si>
  <si>
    <t>Akköy</t>
  </si>
  <si>
    <t>Aydınpınar</t>
  </si>
  <si>
    <t>Bademli</t>
  </si>
  <si>
    <t>Balabancık</t>
  </si>
  <si>
    <t>Çağrışan</t>
  </si>
  <si>
    <t>Çamlık</t>
  </si>
  <si>
    <t>Çayönü</t>
  </si>
  <si>
    <t>Çekrice</t>
  </si>
  <si>
    <t>Çepni</t>
  </si>
  <si>
    <t>Çınarlı</t>
  </si>
  <si>
    <t>Dedeköy</t>
  </si>
  <si>
    <t>Emirleryenicesi</t>
  </si>
  <si>
    <t>Esence</t>
  </si>
  <si>
    <t>Evciler</t>
  </si>
  <si>
    <t>Göynüklü</t>
  </si>
  <si>
    <t>Güzelyalı Burgaz</t>
  </si>
  <si>
    <t>Güzelyalı Eğitim</t>
  </si>
  <si>
    <t>Güzelyalı Siteler</t>
  </si>
  <si>
    <t>Güzelyalı Yalı</t>
  </si>
  <si>
    <t>Halitpaşa</t>
  </si>
  <si>
    <t>Hançerli</t>
  </si>
  <si>
    <t>Hasanbey</t>
  </si>
  <si>
    <t>Hasköy</t>
  </si>
  <si>
    <t>İpekyayla</t>
  </si>
  <si>
    <t>Işıklı</t>
  </si>
  <si>
    <t>Kaymakoba</t>
  </si>
  <si>
    <t>Kumyaka</t>
  </si>
  <si>
    <t>Mirzaoba</t>
  </si>
  <si>
    <t>Mürsel</t>
  </si>
  <si>
    <t>Mütareke</t>
  </si>
  <si>
    <t>Ömerbey</t>
  </si>
  <si>
    <t>Söğütpınar</t>
  </si>
  <si>
    <t>Şükrüçavuş</t>
  </si>
  <si>
    <t>Tirilye</t>
  </si>
  <si>
    <t>Ülkü</t>
  </si>
  <si>
    <t>Yalıçiftlik</t>
  </si>
  <si>
    <t>Yaman</t>
  </si>
  <si>
    <t>Yörükali</t>
  </si>
  <si>
    <t>Yörükyenicesi</t>
  </si>
  <si>
    <t>Ağlaşan</t>
  </si>
  <si>
    <t>Ahmet Vefik Paşa</t>
  </si>
  <si>
    <t>Aksu</t>
  </si>
  <si>
    <t>Alaçam</t>
  </si>
  <si>
    <t>Babasultan</t>
  </si>
  <si>
    <t>Barakfakih</t>
  </si>
  <si>
    <t>Çataltepe</t>
  </si>
  <si>
    <t>Derekızık</t>
  </si>
  <si>
    <t>Dudaklı</t>
  </si>
  <si>
    <t>Erdoğan</t>
  </si>
  <si>
    <t>Gölbaşı</t>
  </si>
  <si>
    <t>Gölcük</t>
  </si>
  <si>
    <t>Gözede</t>
  </si>
  <si>
    <t>Kale</t>
  </si>
  <si>
    <t>Kayacık</t>
  </si>
  <si>
    <t>Kazancı</t>
  </si>
  <si>
    <t>Kozluören</t>
  </si>
  <si>
    <t>Narlıdere</t>
  </si>
  <si>
    <t>Nüzhetiye</t>
  </si>
  <si>
    <t>Saitabat</t>
  </si>
  <si>
    <t>Sayfiye</t>
  </si>
  <si>
    <t>Serme</t>
  </si>
  <si>
    <t>Seymen</t>
  </si>
  <si>
    <t>Soğuksu</t>
  </si>
  <si>
    <t>Turanköy</t>
  </si>
  <si>
    <t>Ümitalan</t>
  </si>
  <si>
    <t>Vani Mehmet</t>
  </si>
  <si>
    <t>Yağmurlu</t>
  </si>
  <si>
    <t>Adliye</t>
  </si>
  <si>
    <t>Ağaköy</t>
  </si>
  <si>
    <t>Ata</t>
  </si>
  <si>
    <t>Cambazlar</t>
  </si>
  <si>
    <t>Balıkpazarı</t>
  </si>
  <si>
    <t>Büyük Kumla</t>
  </si>
  <si>
    <t>Dışkaya</t>
  </si>
  <si>
    <t>Cihatlı</t>
  </si>
  <si>
    <t>Ericek</t>
  </si>
  <si>
    <t>Demirsubaşı</t>
  </si>
  <si>
    <t>Dr. Ziya Kaya</t>
  </si>
  <si>
    <t>Hasanköy</t>
  </si>
  <si>
    <t>Engürücük</t>
  </si>
  <si>
    <t>İğdir</t>
  </si>
  <si>
    <t>Eşref Dinçer</t>
  </si>
  <si>
    <t>İpekyolu</t>
  </si>
  <si>
    <t>Gençali</t>
  </si>
  <si>
    <t>Güvenli</t>
  </si>
  <si>
    <t>Karahıdır</t>
  </si>
  <si>
    <t>Kazıklı</t>
  </si>
  <si>
    <t>Hamidiyeköy</t>
  </si>
  <si>
    <t>Kumlukalanı</t>
  </si>
  <si>
    <t>Haydariye</t>
  </si>
  <si>
    <t>Hisar</t>
  </si>
  <si>
    <t>Yenidoğan</t>
  </si>
  <si>
    <t>Katırlı</t>
  </si>
  <si>
    <t>Kayhan</t>
  </si>
  <si>
    <t>Kumla</t>
  </si>
  <si>
    <t>Kurtul</t>
  </si>
  <si>
    <t>Küçük Kumla</t>
  </si>
  <si>
    <t>Muratoba</t>
  </si>
  <si>
    <t>Narlı</t>
  </si>
  <si>
    <t>Şahinyurdu</t>
  </si>
  <si>
    <t>Code</t>
  </si>
  <si>
    <t>YL1</t>
  </si>
  <si>
    <t>YL2</t>
  </si>
  <si>
    <t>YL3</t>
  </si>
  <si>
    <t>YL4</t>
  </si>
  <si>
    <t>YL5</t>
  </si>
  <si>
    <t>YL6</t>
  </si>
  <si>
    <t>YL7</t>
  </si>
  <si>
    <t>YL8</t>
  </si>
  <si>
    <t>YL9</t>
  </si>
  <si>
    <t>YL10</t>
  </si>
  <si>
    <t>YL11</t>
  </si>
  <si>
    <t>YL12</t>
  </si>
  <si>
    <t>YL13</t>
  </si>
  <si>
    <t>YL14</t>
  </si>
  <si>
    <t>YL15</t>
  </si>
  <si>
    <t>YL16</t>
  </si>
  <si>
    <t>YL17</t>
  </si>
  <si>
    <t>YL18</t>
  </si>
  <si>
    <t>YL19</t>
  </si>
  <si>
    <t>YL20</t>
  </si>
  <si>
    <t>YL21</t>
  </si>
  <si>
    <t>YL22</t>
  </si>
  <si>
    <t>YL23</t>
  </si>
  <si>
    <t>YL24</t>
  </si>
  <si>
    <t>YL25</t>
  </si>
  <si>
    <t>YL26</t>
  </si>
  <si>
    <t>YL27</t>
  </si>
  <si>
    <t>YL28</t>
  </si>
  <si>
    <t>YL29</t>
  </si>
  <si>
    <t>YL30</t>
  </si>
  <si>
    <t>YL31</t>
  </si>
  <si>
    <t>YL32</t>
  </si>
  <si>
    <t>YL33</t>
  </si>
  <si>
    <t>YL34</t>
  </si>
  <si>
    <t>YL35</t>
  </si>
  <si>
    <t>YL36</t>
  </si>
  <si>
    <t>YL37</t>
  </si>
  <si>
    <t>YL38</t>
  </si>
  <si>
    <t>YL39</t>
  </si>
  <si>
    <t>YL40</t>
  </si>
  <si>
    <t>YL41</t>
  </si>
  <si>
    <t>YL42</t>
  </si>
  <si>
    <t>YL43</t>
  </si>
  <si>
    <t>YL44</t>
  </si>
  <si>
    <t>YL45</t>
  </si>
  <si>
    <t>YL46</t>
  </si>
  <si>
    <t>YL47</t>
  </si>
  <si>
    <t>YL48</t>
  </si>
  <si>
    <t>YL49</t>
  </si>
  <si>
    <t>YL50</t>
  </si>
  <si>
    <t>YL51</t>
  </si>
  <si>
    <t>YL52</t>
  </si>
  <si>
    <t>YL53</t>
  </si>
  <si>
    <t>YL54</t>
  </si>
  <si>
    <t>YL55</t>
  </si>
  <si>
    <t>YL56</t>
  </si>
  <si>
    <t>YL57</t>
  </si>
  <si>
    <t>YL58</t>
  </si>
  <si>
    <t>YL59</t>
  </si>
  <si>
    <t>YL60</t>
  </si>
  <si>
    <t>YL61</t>
  </si>
  <si>
    <t>YL62</t>
  </si>
  <si>
    <t>YL63</t>
  </si>
  <si>
    <t>YL64</t>
  </si>
  <si>
    <t>YL65</t>
  </si>
  <si>
    <t>YL66</t>
  </si>
  <si>
    <t>YL67</t>
  </si>
  <si>
    <t>YL68</t>
  </si>
  <si>
    <t>YL69</t>
  </si>
  <si>
    <t>YL70</t>
  </si>
  <si>
    <t>YL71</t>
  </si>
  <si>
    <t>OS1</t>
  </si>
  <si>
    <t>OS2</t>
  </si>
  <si>
    <t>OS3</t>
  </si>
  <si>
    <t>OS4</t>
  </si>
  <si>
    <t>OS5</t>
  </si>
  <si>
    <t>OS6</t>
  </si>
  <si>
    <t>OS7</t>
  </si>
  <si>
    <t>OS8</t>
  </si>
  <si>
    <t>OS9</t>
  </si>
  <si>
    <t>OS10</t>
  </si>
  <si>
    <t>OS11</t>
  </si>
  <si>
    <t>OS12</t>
  </si>
  <si>
    <t>OS13</t>
  </si>
  <si>
    <t>OS14</t>
  </si>
  <si>
    <t>OS15</t>
  </si>
  <si>
    <t>OS16</t>
  </si>
  <si>
    <t>OS17</t>
  </si>
  <si>
    <t>OS18</t>
  </si>
  <si>
    <t>OS19</t>
  </si>
  <si>
    <t>OS20</t>
  </si>
  <si>
    <t>OS21</t>
  </si>
  <si>
    <t>OS22</t>
  </si>
  <si>
    <t>OS23</t>
  </si>
  <si>
    <t>OS24</t>
  </si>
  <si>
    <t>OS25</t>
  </si>
  <si>
    <t>OS26</t>
  </si>
  <si>
    <t>OS27</t>
  </si>
  <si>
    <t>OS28</t>
  </si>
  <si>
    <t>OS29</t>
  </si>
  <si>
    <t>OS30</t>
  </si>
  <si>
    <t>OS31</t>
  </si>
  <si>
    <t>OS32</t>
  </si>
  <si>
    <t>OS33</t>
  </si>
  <si>
    <t>OS34</t>
  </si>
  <si>
    <t>OS35</t>
  </si>
  <si>
    <t>OS36</t>
  </si>
  <si>
    <t>OS37</t>
  </si>
  <si>
    <t>OS38</t>
  </si>
  <si>
    <t>OS39</t>
  </si>
  <si>
    <t>OS40</t>
  </si>
  <si>
    <t>OS41</t>
  </si>
  <si>
    <t>OS42</t>
  </si>
  <si>
    <t>OS43</t>
  </si>
  <si>
    <t>OS44</t>
  </si>
  <si>
    <t>OS45</t>
  </si>
  <si>
    <t>OS46</t>
  </si>
  <si>
    <t>OS47</t>
  </si>
  <si>
    <t>OS48</t>
  </si>
  <si>
    <t>OS49</t>
  </si>
  <si>
    <t>OS50</t>
  </si>
  <si>
    <t>OS51</t>
  </si>
  <si>
    <t>OS52</t>
  </si>
  <si>
    <t>OS53</t>
  </si>
  <si>
    <t>OS54</t>
  </si>
  <si>
    <t>OS55</t>
  </si>
  <si>
    <t>OS56</t>
  </si>
  <si>
    <t>OS57</t>
  </si>
  <si>
    <t>OS58</t>
  </si>
  <si>
    <t>OS59</t>
  </si>
  <si>
    <t>OS60</t>
  </si>
  <si>
    <t>OS61</t>
  </si>
  <si>
    <t>OS62</t>
  </si>
  <si>
    <t>OS63</t>
  </si>
  <si>
    <t>OS64</t>
  </si>
  <si>
    <t>OS65</t>
  </si>
  <si>
    <t>OS66</t>
  </si>
  <si>
    <t>OS67</t>
  </si>
  <si>
    <t>OS68</t>
  </si>
  <si>
    <t>OS69</t>
  </si>
  <si>
    <t>OS70</t>
  </si>
  <si>
    <t>OS71</t>
  </si>
  <si>
    <t>OS72</t>
  </si>
  <si>
    <t>OS73</t>
  </si>
  <si>
    <t>OS74</t>
  </si>
  <si>
    <t>OS75</t>
  </si>
  <si>
    <t>OS76</t>
  </si>
  <si>
    <t>OS77</t>
  </si>
  <si>
    <t>OS78</t>
  </si>
  <si>
    <t>OS79</t>
  </si>
  <si>
    <t>OS80</t>
  </si>
  <si>
    <t>OS81</t>
  </si>
  <si>
    <t>OS82</t>
  </si>
  <si>
    <t>OS83</t>
  </si>
  <si>
    <t>OS84</t>
  </si>
  <si>
    <t>OS85</t>
  </si>
  <si>
    <t>OS86</t>
  </si>
  <si>
    <t>OS87</t>
  </si>
  <si>
    <t>OS88</t>
  </si>
  <si>
    <t>OS89</t>
  </si>
  <si>
    <t>OS90</t>
  </si>
  <si>
    <t>OS91</t>
  </si>
  <si>
    <t>OS92</t>
  </si>
  <si>
    <t>OS93</t>
  </si>
  <si>
    <t>OS94</t>
  </si>
  <si>
    <t>OS95</t>
  </si>
  <si>
    <t>OS96</t>
  </si>
  <si>
    <t>OS97</t>
  </si>
  <si>
    <t>OS98</t>
  </si>
  <si>
    <t>OS99</t>
  </si>
  <si>
    <t>OS100</t>
  </si>
  <si>
    <t>OS101</t>
  </si>
  <si>
    <t>OS102</t>
  </si>
  <si>
    <t>OS103</t>
  </si>
  <si>
    <t>OS104</t>
  </si>
  <si>
    <t>OS105</t>
  </si>
  <si>
    <t>OS106</t>
  </si>
  <si>
    <t>OS107</t>
  </si>
  <si>
    <t>OS108</t>
  </si>
  <si>
    <t>OS109</t>
  </si>
  <si>
    <t>OS110</t>
  </si>
  <si>
    <t>OS111</t>
  </si>
  <si>
    <t>OS112</t>
  </si>
  <si>
    <t>OS113</t>
  </si>
  <si>
    <t>OS114</t>
  </si>
  <si>
    <t>OS115</t>
  </si>
  <si>
    <t>OS116</t>
  </si>
  <si>
    <t>OS117</t>
  </si>
  <si>
    <t>OS118</t>
  </si>
  <si>
    <t>OS119</t>
  </si>
  <si>
    <t>OS120</t>
  </si>
  <si>
    <t>OS121</t>
  </si>
  <si>
    <t>OS122</t>
  </si>
  <si>
    <t>OS123</t>
  </si>
  <si>
    <t>OS124</t>
  </si>
  <si>
    <t>OS125</t>
  </si>
  <si>
    <t>OS126</t>
  </si>
  <si>
    <t>OS127</t>
  </si>
  <si>
    <t>OS128</t>
  </si>
  <si>
    <t>OS129</t>
  </si>
  <si>
    <t>OS130</t>
  </si>
  <si>
    <t>OS131</t>
  </si>
  <si>
    <t>OS132</t>
  </si>
  <si>
    <t>OS133</t>
  </si>
  <si>
    <t>OS134</t>
  </si>
  <si>
    <t>OS135</t>
  </si>
  <si>
    <t>OS136</t>
  </si>
  <si>
    <t>NL1</t>
  </si>
  <si>
    <t>NL2</t>
  </si>
  <si>
    <t>NL3</t>
  </si>
  <si>
    <t>NL4</t>
  </si>
  <si>
    <t>NL5</t>
  </si>
  <si>
    <t>NL6</t>
  </si>
  <si>
    <t>NL7</t>
  </si>
  <si>
    <t>NL8</t>
  </si>
  <si>
    <t>NL9</t>
  </si>
  <si>
    <t>NL10</t>
  </si>
  <si>
    <t>NL11</t>
  </si>
  <si>
    <t>NL12</t>
  </si>
  <si>
    <t>NL13</t>
  </si>
  <si>
    <t>NL14</t>
  </si>
  <si>
    <t>NL15</t>
  </si>
  <si>
    <t>NL16</t>
  </si>
  <si>
    <t>NL17</t>
  </si>
  <si>
    <t>NL18</t>
  </si>
  <si>
    <t>NL19</t>
  </si>
  <si>
    <t>NL20</t>
  </si>
  <si>
    <t>NL21</t>
  </si>
  <si>
    <t>NL22</t>
  </si>
  <si>
    <t>NL23</t>
  </si>
  <si>
    <t>NL24</t>
  </si>
  <si>
    <t>NL25</t>
  </si>
  <si>
    <t>NL26</t>
  </si>
  <si>
    <t>NL27</t>
  </si>
  <si>
    <t>NL28</t>
  </si>
  <si>
    <t>NL29</t>
  </si>
  <si>
    <t>NL30</t>
  </si>
  <si>
    <t>NL31</t>
  </si>
  <si>
    <t>NL32</t>
  </si>
  <si>
    <t>NL33</t>
  </si>
  <si>
    <t>NL34</t>
  </si>
  <si>
    <t>NL35</t>
  </si>
  <si>
    <t>NL36</t>
  </si>
  <si>
    <t>NL37</t>
  </si>
  <si>
    <t>NL38</t>
  </si>
  <si>
    <t>NL39</t>
  </si>
  <si>
    <t>NL40</t>
  </si>
  <si>
    <t>NL41</t>
  </si>
  <si>
    <t>NL42</t>
  </si>
  <si>
    <t>NL43</t>
  </si>
  <si>
    <t>NL44</t>
  </si>
  <si>
    <t>NL45</t>
  </si>
  <si>
    <t>NL46</t>
  </si>
  <si>
    <t>NL47</t>
  </si>
  <si>
    <t>NL48</t>
  </si>
  <si>
    <t>NL49</t>
  </si>
  <si>
    <t>NL50</t>
  </si>
  <si>
    <t>NL51</t>
  </si>
  <si>
    <t>NL52</t>
  </si>
  <si>
    <t>NL53</t>
  </si>
  <si>
    <t>NL54</t>
  </si>
  <si>
    <t>NL55</t>
  </si>
  <si>
    <t>NL56</t>
  </si>
  <si>
    <t>NL57</t>
  </si>
  <si>
    <t>NL58</t>
  </si>
  <si>
    <t>NL59</t>
  </si>
  <si>
    <t>NL60</t>
  </si>
  <si>
    <t>NL61</t>
  </si>
  <si>
    <t>NL62</t>
  </si>
  <si>
    <t>NL63</t>
  </si>
  <si>
    <t>NL64</t>
  </si>
  <si>
    <t>IN1</t>
  </si>
  <si>
    <t>IN2</t>
  </si>
  <si>
    <t>IN3</t>
  </si>
  <si>
    <t>IN4</t>
  </si>
  <si>
    <t>IN5</t>
  </si>
  <si>
    <t>IN6</t>
  </si>
  <si>
    <t>IN7</t>
  </si>
  <si>
    <t>IN8</t>
  </si>
  <si>
    <t>IN9</t>
  </si>
  <si>
    <t>IN10</t>
  </si>
  <si>
    <t>IN11</t>
  </si>
  <si>
    <t>IN12</t>
  </si>
  <si>
    <t>IN13</t>
  </si>
  <si>
    <t>IN14</t>
  </si>
  <si>
    <t>IN15</t>
  </si>
  <si>
    <t>IN16</t>
  </si>
  <si>
    <t>IN17</t>
  </si>
  <si>
    <t>IN18</t>
  </si>
  <si>
    <t>IN19</t>
  </si>
  <si>
    <t>IN20</t>
  </si>
  <si>
    <t>IN21</t>
  </si>
  <si>
    <t>IN22</t>
  </si>
  <si>
    <t>IN23</t>
  </si>
  <si>
    <t>IN24</t>
  </si>
  <si>
    <t>IN25</t>
  </si>
  <si>
    <t>IN26</t>
  </si>
  <si>
    <t>IN27</t>
  </si>
  <si>
    <t>IN28</t>
  </si>
  <si>
    <t>IN29</t>
  </si>
  <si>
    <t>IN30</t>
  </si>
  <si>
    <t>IN31</t>
  </si>
  <si>
    <t>IN32</t>
  </si>
  <si>
    <t>IN33</t>
  </si>
  <si>
    <t>IN34</t>
  </si>
  <si>
    <t>IN35</t>
  </si>
  <si>
    <t>IN36</t>
  </si>
  <si>
    <t>IN37</t>
  </si>
  <si>
    <t>IN38</t>
  </si>
  <si>
    <t>IN39</t>
  </si>
  <si>
    <t>IN40</t>
  </si>
  <si>
    <t>IN41</t>
  </si>
  <si>
    <t>IN42</t>
  </si>
  <si>
    <t>IN43</t>
  </si>
  <si>
    <t>IN44</t>
  </si>
  <si>
    <t>IN45</t>
  </si>
  <si>
    <t>IN46</t>
  </si>
  <si>
    <t>IN47</t>
  </si>
  <si>
    <t>IN48</t>
  </si>
  <si>
    <t>IN49</t>
  </si>
  <si>
    <t>IN50</t>
  </si>
  <si>
    <t>IN51</t>
  </si>
  <si>
    <t>IN52</t>
  </si>
  <si>
    <t>IN53</t>
  </si>
  <si>
    <t>IN54</t>
  </si>
  <si>
    <t>IN55</t>
  </si>
  <si>
    <t>IN56</t>
  </si>
  <si>
    <t>IN57</t>
  </si>
  <si>
    <t>IN58</t>
  </si>
  <si>
    <t>IN59</t>
  </si>
  <si>
    <t>IN60</t>
  </si>
  <si>
    <t>IN61</t>
  </si>
  <si>
    <t>IN62</t>
  </si>
  <si>
    <t>IN63</t>
  </si>
  <si>
    <t>IN64</t>
  </si>
  <si>
    <t>IN65</t>
  </si>
  <si>
    <t>IN66</t>
  </si>
  <si>
    <t>IN67</t>
  </si>
  <si>
    <t>IN68</t>
  </si>
  <si>
    <t>IN69</t>
  </si>
  <si>
    <t>IN70</t>
  </si>
  <si>
    <t>IN71</t>
  </si>
  <si>
    <t>IN72</t>
  </si>
  <si>
    <t>IN73</t>
  </si>
  <si>
    <t>IN74</t>
  </si>
  <si>
    <t>IN75</t>
  </si>
  <si>
    <t>IN76</t>
  </si>
  <si>
    <t>IN77</t>
  </si>
  <si>
    <t>IN78</t>
  </si>
  <si>
    <t>IN79</t>
  </si>
  <si>
    <t>IN80</t>
  </si>
  <si>
    <t>IN81</t>
  </si>
  <si>
    <t>IN82</t>
  </si>
  <si>
    <t>IN83</t>
  </si>
  <si>
    <t>IN84</t>
  </si>
  <si>
    <t>IN85</t>
  </si>
  <si>
    <t>IN86</t>
  </si>
  <si>
    <t>IN87</t>
  </si>
  <si>
    <t>IN88</t>
  </si>
  <si>
    <t>IN89</t>
  </si>
  <si>
    <t>IN90</t>
  </si>
  <si>
    <t>IN91</t>
  </si>
  <si>
    <t>IN92</t>
  </si>
  <si>
    <t>IN93</t>
  </si>
  <si>
    <t>IN94</t>
  </si>
  <si>
    <t>IN95</t>
  </si>
  <si>
    <t>IN96</t>
  </si>
  <si>
    <t>IN97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</si>
  <si>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</si>
  <si>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</si>
  <si>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</si>
  <si>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</si>
  <si>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</si>
  <si>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</si>
  <si>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</si>
  <si>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</si>
  <si>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</si>
  <si>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</si>
  <si>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</si>
  <si>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</si>
  <si>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</si>
  <si>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</si>
  <si>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</si>
  <si>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</si>
  <si>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</si>
  <si>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</si>
  <si>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</si>
  <si>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YN1</t>
  </si>
  <si>
    <t>YN2</t>
  </si>
  <si>
    <t>YN3</t>
  </si>
  <si>
    <t>YN4</t>
  </si>
  <si>
    <t>YN5</t>
  </si>
  <si>
    <t>YN6</t>
  </si>
  <si>
    <t>YN7</t>
  </si>
  <si>
    <t>YN8</t>
  </si>
  <si>
    <t>YN9</t>
  </si>
  <si>
    <t>YN10</t>
  </si>
  <si>
    <t>YN11</t>
  </si>
  <si>
    <t>YN12</t>
  </si>
  <si>
    <t>YN13</t>
  </si>
  <si>
    <t>YN14</t>
  </si>
  <si>
    <t>YN15</t>
  </si>
  <si>
    <t>YN16</t>
  </si>
  <si>
    <t>YN17</t>
  </si>
  <si>
    <t>YN18</t>
  </si>
  <si>
    <t>YN19</t>
  </si>
  <si>
    <t>YN20</t>
  </si>
  <si>
    <t>YN21</t>
  </si>
  <si>
    <t>YN22</t>
  </si>
  <si>
    <t>YN23</t>
  </si>
  <si>
    <t>YN24</t>
  </si>
  <si>
    <t>YN25</t>
  </si>
  <si>
    <t>YN26</t>
  </si>
  <si>
    <t>YN27</t>
  </si>
  <si>
    <t>YN28</t>
  </si>
  <si>
    <t>YN29</t>
  </si>
  <si>
    <t>YN30</t>
  </si>
  <si>
    <t>YN31</t>
  </si>
  <si>
    <t>YN32</t>
  </si>
  <si>
    <t>YN33</t>
  </si>
  <si>
    <t>YN34</t>
  </si>
  <si>
    <t>YN35</t>
  </si>
  <si>
    <t>YN36</t>
  </si>
  <si>
    <t>YN37</t>
  </si>
  <si>
    <t>YN38</t>
  </si>
  <si>
    <t>YN39</t>
  </si>
  <si>
    <t>YN40</t>
  </si>
  <si>
    <t>YN41</t>
  </si>
  <si>
    <t>YN42</t>
  </si>
  <si>
    <t>YN43</t>
  </si>
  <si>
    <t>YN44</t>
  </si>
  <si>
    <t>YN45</t>
  </si>
  <si>
    <t>YN46</t>
  </si>
  <si>
    <t>YN47</t>
  </si>
  <si>
    <t>YN48</t>
  </si>
  <si>
    <t>YN49</t>
  </si>
  <si>
    <t>YN50</t>
  </si>
  <si>
    <t>YN51</t>
  </si>
  <si>
    <t>YN52</t>
  </si>
  <si>
    <t>YN53</t>
  </si>
  <si>
    <t>YN54</t>
  </si>
  <si>
    <t>YN55</t>
  </si>
  <si>
    <t>YN56</t>
  </si>
  <si>
    <t>YN57</t>
  </si>
  <si>
    <t>YN58</t>
  </si>
  <si>
    <t>YN59</t>
  </si>
  <si>
    <t>YN60</t>
  </si>
  <si>
    <t>YN61</t>
  </si>
  <si>
    <t>YN62</t>
  </si>
  <si>
    <t>YN63</t>
  </si>
  <si>
    <t>YN64</t>
  </si>
  <si>
    <t>YN65</t>
  </si>
  <si>
    <t>YN66</t>
  </si>
  <si>
    <t>YN67</t>
  </si>
  <si>
    <t>YN68</t>
  </si>
  <si>
    <t>YN69</t>
  </si>
  <si>
    <t>YN70</t>
  </si>
  <si>
    <t>YN71</t>
  </si>
  <si>
    <t>OR1</t>
  </si>
  <si>
    <t>OR2</t>
  </si>
  <si>
    <t>OR3</t>
  </si>
  <si>
    <t>OR4</t>
  </si>
  <si>
    <t>OR5</t>
  </si>
  <si>
    <t>OR6</t>
  </si>
  <si>
    <t>OR7</t>
  </si>
  <si>
    <t>OR8</t>
  </si>
  <si>
    <t>OR9</t>
  </si>
  <si>
    <t>OR10</t>
  </si>
  <si>
    <t>OR11</t>
  </si>
  <si>
    <t>OR12</t>
  </si>
  <si>
    <t>OR13</t>
  </si>
  <si>
    <t>OR14</t>
  </si>
  <si>
    <t>OR15</t>
  </si>
  <si>
    <t>OR16</t>
  </si>
  <si>
    <t>OR17</t>
  </si>
  <si>
    <t>OR18</t>
  </si>
  <si>
    <t>OR19</t>
  </si>
  <si>
    <t>OR20</t>
  </si>
  <si>
    <t>OR21</t>
  </si>
  <si>
    <t>OR22</t>
  </si>
  <si>
    <t>OR23</t>
  </si>
  <si>
    <t>OR24</t>
  </si>
  <si>
    <t>OR25</t>
  </si>
  <si>
    <t>OR26</t>
  </si>
  <si>
    <t>OR27</t>
  </si>
  <si>
    <t>OR28</t>
  </si>
  <si>
    <t>OR29</t>
  </si>
  <si>
    <t>OR30</t>
  </si>
  <si>
    <t>OR31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</si>
  <si>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</si>
  <si>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</si>
  <si>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</si>
  <si>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</si>
  <si>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</si>
  <si>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</si>
  <si>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</si>
  <si>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</si>
  <si>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</si>
  <si>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</si>
  <si>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</si>
  <si>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</si>
  <si>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</si>
  <si>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MD14</t>
  </si>
  <si>
    <t>MD15</t>
  </si>
  <si>
    <t>MD16</t>
  </si>
  <si>
    <t>MD17</t>
  </si>
  <si>
    <t>MD18</t>
  </si>
  <si>
    <t>MD19</t>
  </si>
  <si>
    <t>MD20</t>
  </si>
  <si>
    <t>MD21</t>
  </si>
  <si>
    <t>MD22</t>
  </si>
  <si>
    <t>MD23</t>
  </si>
  <si>
    <t>MD24</t>
  </si>
  <si>
    <t>MD25</t>
  </si>
  <si>
    <t>MD26</t>
  </si>
  <si>
    <t>MD27</t>
  </si>
  <si>
    <t>MD28</t>
  </si>
  <si>
    <t>MD29</t>
  </si>
  <si>
    <t>MD30</t>
  </si>
  <si>
    <t>MD31</t>
  </si>
  <si>
    <t>MD32</t>
  </si>
  <si>
    <t>MD33</t>
  </si>
  <si>
    <t>MD34</t>
  </si>
  <si>
    <t>MD35</t>
  </si>
  <si>
    <t>MD36</t>
  </si>
  <si>
    <t>MD37</t>
  </si>
  <si>
    <t>MD38</t>
  </si>
  <si>
    <t>MD39</t>
  </si>
  <si>
    <t>MD40</t>
  </si>
  <si>
    <t>MD41</t>
  </si>
  <si>
    <t>MD42</t>
  </si>
  <si>
    <t>MD43</t>
  </si>
  <si>
    <t>MD44</t>
  </si>
  <si>
    <t>MD45</t>
  </si>
  <si>
    <t>MD46</t>
  </si>
  <si>
    <t>MD47</t>
  </si>
  <si>
    <t>KS1</t>
  </si>
  <si>
    <t>KS2</t>
  </si>
  <si>
    <t>KS3</t>
  </si>
  <si>
    <t>KS4</t>
  </si>
  <si>
    <t>KS5</t>
  </si>
  <si>
    <t>KS6</t>
  </si>
  <si>
    <t>KS7</t>
  </si>
  <si>
    <t>KS8</t>
  </si>
  <si>
    <t>KS9</t>
  </si>
  <si>
    <t>KS10</t>
  </si>
  <si>
    <t>KS11</t>
  </si>
  <si>
    <t>KS12</t>
  </si>
  <si>
    <t>KS13</t>
  </si>
  <si>
    <t>KS14</t>
  </si>
  <si>
    <t>KS15</t>
  </si>
  <si>
    <t>KS16</t>
  </si>
  <si>
    <t>KS17</t>
  </si>
  <si>
    <t>KS18</t>
  </si>
  <si>
    <t>KS19</t>
  </si>
  <si>
    <t>KS20</t>
  </si>
  <si>
    <t>KS21</t>
  </si>
  <si>
    <t>KS22</t>
  </si>
  <si>
    <t>KS23</t>
  </si>
  <si>
    <t>KS24</t>
  </si>
  <si>
    <t>KS25</t>
  </si>
  <si>
    <t>KS26</t>
  </si>
  <si>
    <t>KS27</t>
  </si>
  <si>
    <t>KS28</t>
  </si>
  <si>
    <t>KS29</t>
  </si>
  <si>
    <t>KS30</t>
  </si>
  <si>
    <t>KS31</t>
  </si>
  <si>
    <t>KS32</t>
  </si>
  <si>
    <t>KS33</t>
  </si>
  <si>
    <t>KS34</t>
  </si>
  <si>
    <t>KS35</t>
  </si>
  <si>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</si>
  <si>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</si>
  <si>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</si>
  <si>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</si>
  <si>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</si>
  <si>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</si>
  <si>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</si>
  <si>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</si>
  <si>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</si>
  <si>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</si>
  <si>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GR11</t>
  </si>
  <si>
    <t>GR12</t>
  </si>
  <si>
    <t>GR13</t>
  </si>
  <si>
    <t>GR14</t>
  </si>
  <si>
    <t>GR15</t>
  </si>
  <si>
    <t>GM1</t>
  </si>
  <si>
    <t>GM2</t>
  </si>
  <si>
    <t>GM3</t>
  </si>
  <si>
    <t>GM4</t>
  </si>
  <si>
    <t>GM5</t>
  </si>
  <si>
    <t>GM6</t>
  </si>
  <si>
    <t>GM7</t>
  </si>
  <si>
    <t>GM8</t>
  </si>
  <si>
    <t>GM9</t>
  </si>
  <si>
    <t>GM10</t>
  </si>
  <si>
    <t>GM11</t>
  </si>
  <si>
    <t>GM12</t>
  </si>
  <si>
    <t>GM13</t>
  </si>
  <si>
    <t>GM14</t>
  </si>
  <si>
    <t>GM15</t>
  </si>
  <si>
    <t>GM16</t>
  </si>
  <si>
    <t>GM17</t>
  </si>
  <si>
    <t>GM18</t>
  </si>
  <si>
    <t>GM19</t>
  </si>
  <si>
    <t>GM20</t>
  </si>
  <si>
    <t>GM21</t>
  </si>
  <si>
    <t>GM22</t>
  </si>
  <si>
    <t>GM23</t>
  </si>
  <si>
    <t>GM24</t>
  </si>
  <si>
    <t>GM25</t>
  </si>
  <si>
    <t>GM26</t>
  </si>
  <si>
    <t>GM27</t>
  </si>
  <si>
    <t>GM28</t>
  </si>
  <si>
    <t>GM29</t>
  </si>
  <si>
    <t>GM30</t>
  </si>
  <si>
    <t>GM31</t>
  </si>
  <si>
    <t>GM32</t>
  </si>
  <si>
    <t>GM33</t>
  </si>
  <si>
    <t>GM34</t>
  </si>
  <si>
    <t>GM35</t>
  </si>
  <si>
    <t>SALES BÖLGESİ</t>
  </si>
  <si>
    <t>SALES23</t>
  </si>
  <si>
    <t>SALES21</t>
  </si>
  <si>
    <t>SALES24</t>
  </si>
  <si>
    <t>SALES22</t>
  </si>
  <si>
    <t>SALES19</t>
  </si>
  <si>
    <t>SALES17</t>
  </si>
  <si>
    <t>SALES20</t>
  </si>
  <si>
    <t>SALES18</t>
  </si>
  <si>
    <t>SALES16</t>
  </si>
  <si>
    <t>SALES15</t>
  </si>
  <si>
    <t>SALES02</t>
  </si>
  <si>
    <t>SALES03</t>
  </si>
  <si>
    <t>SALES08</t>
  </si>
  <si>
    <t>SALES14</t>
  </si>
  <si>
    <t>SALES05</t>
  </si>
  <si>
    <t>SALES13</t>
  </si>
  <si>
    <t>SALES04</t>
  </si>
  <si>
    <t>SALES10</t>
  </si>
  <si>
    <t>SALES01</t>
  </si>
  <si>
    <t>SALES06</t>
  </si>
  <si>
    <t>SALES12</t>
  </si>
  <si>
    <t>SALES11</t>
  </si>
  <si>
    <t>SALES07</t>
  </si>
  <si>
    <t>SALES09</t>
  </si>
  <si>
    <t>SALES28</t>
  </si>
  <si>
    <t>SALES29</t>
  </si>
  <si>
    <t>SALES33</t>
  </si>
  <si>
    <t>SALES35</t>
  </si>
  <si>
    <t>SALES26</t>
  </si>
  <si>
    <t>SALES25</t>
  </si>
  <si>
    <t>SALES27</t>
  </si>
  <si>
    <t>SALES31</t>
  </si>
  <si>
    <t>SALES30</t>
  </si>
  <si>
    <t>SALES32</t>
  </si>
  <si>
    <t>SALES34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</si>
</sst>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zoomScale="80" zoomScaleNormal="80" workbookViewId="0">
      <pane ySplit="1" topLeftCell="A2" activePane="bottomLeft" state="frozen"/>
      <selection pane="bottomLeft" activeCell="B4" sqref="B4"/>
    </sheetView>
  </sheetViews>
  <sheetFormatPr defaultColWidth="20.6328125" defaultRowHeight="15" customHeight="1" x14ac:dyDescent="0.35"/>
  <cols>
    <col min="1" max="1" width="10.6328125" customWidth="1"/>
  </cols>
  <sheetData>
    <row r="1" spans="1:27" ht="14.5" x14ac:dyDescent="0.35">
      <c r="A1" s="1" t="s">
        <v>563</v>
      </c>
      <c r="B1" s="1" t="s">
        <v>0</v>
      </c>
      <c r="C1" s="1" t="s">
        <v>1</v>
      </c>
      <c r="D1" s="1" t="s">
        <v>1185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5" x14ac:dyDescent="0.35">
      <c r="A2" s="2" t="s">
        <v>564</v>
      </c>
      <c r="B2" s="2" t="s">
        <v>2</v>
      </c>
      <c r="C2" s="7" t="str">
        <f>HYPERLINK("https://tools.wmflabs.org/geohack/geohack.php?params=40.1879_N_29.1058_E_type:city","40.1879°N 29.1058°E")</f>
        <v>40.1879°N 29.1058°E</v>
      </c>
      <c r="D2" s="7" t="s">
        <v>1186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5" x14ac:dyDescent="0.35">
      <c r="A3" s="2" t="s">
        <v>565</v>
      </c>
      <c r="B3" s="2" t="s">
        <v>6</v>
      </c>
      <c r="C3" s="7" t="str">
        <f>HYPERLINK("https://tools.wmflabs.org/geohack/geohack.php?params=40.1848_N_29.1459_E_type:city","40.1848°N 29.1459°E")</f>
        <v>40.1848°N 29.1459°E</v>
      </c>
      <c r="D3" s="7" t="s">
        <v>1187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5" x14ac:dyDescent="0.35">
      <c r="A4" s="2" t="s">
        <v>566</v>
      </c>
      <c r="B4" s="2" t="s">
        <v>9</v>
      </c>
      <c r="C4" s="7" t="str">
        <f>HYPERLINK("https://tools.wmflabs.org/geohack/geohack.php?params=40.1683_N_29.1091_E_type:city","40.1683°N 29.1091°E")</f>
        <v>40.1683°N 29.1091°E</v>
      </c>
      <c r="D4" s="7" t="s">
        <v>1186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5" x14ac:dyDescent="0.35">
      <c r="A5" s="2" t="s">
        <v>567</v>
      </c>
      <c r="B5" s="2" t="s">
        <v>13</v>
      </c>
      <c r="C5" s="7" t="str">
        <f>HYPERLINK("https://tools.wmflabs.org/geohack/geohack.php?params=40.1938_N_29.0905_E_type:city","40.1938°N 29.0905°E")</f>
        <v>40.1938°N 29.0905°E</v>
      </c>
      <c r="D5" s="7" t="s">
        <v>1188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5" x14ac:dyDescent="0.35">
      <c r="A6" s="2" t="s">
        <v>568</v>
      </c>
      <c r="B6" s="2" t="s">
        <v>17</v>
      </c>
      <c r="C6" s="7" t="str">
        <f>HYPERLINK("https://tools.wmflabs.org/geohack/geohack.php?params=40.2013_N_29.1331_E_type:city","40.2013°N 29.1331°E")</f>
        <v>40.2013°N 29.1331°E</v>
      </c>
      <c r="D6" s="7" t="s">
        <v>1189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5" x14ac:dyDescent="0.35">
      <c r="A7" s="2" t="s">
        <v>569</v>
      </c>
      <c r="B7" s="2" t="s">
        <v>21</v>
      </c>
      <c r="C7" s="7" t="str">
        <f>HYPERLINK("https://tools.wmflabs.org/geohack/geohack.php?params=40.1822_N_29.1343_E_type:city","40.1822°N 29.1343°E")</f>
        <v>40.1822°N 29.1343°E</v>
      </c>
      <c r="D7" s="7" t="s">
        <v>1189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5" x14ac:dyDescent="0.35">
      <c r="A8" s="2" t="s">
        <v>570</v>
      </c>
      <c r="B8" s="2" t="s">
        <v>25</v>
      </c>
      <c r="C8" s="7" t="str">
        <f>HYPERLINK("https://tools.wmflabs.org/geohack/geohack.php?params=40.1456_N_29.1355_E_type:city","40.1456°N 29.1355°E")</f>
        <v>40.1456°N 29.1355°E</v>
      </c>
      <c r="D8" s="7" t="s">
        <v>1189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5" x14ac:dyDescent="0.35">
      <c r="A9" s="2" t="s">
        <v>571</v>
      </c>
      <c r="B9" s="2" t="s">
        <v>28</v>
      </c>
      <c r="C9" s="7" t="str">
        <f>HYPERLINK("https://tools.wmflabs.org/geohack/geohack.php?params=40.1837_N_29.0982_E_type:city","40.1837°N 29.0982°E")</f>
        <v>40.1837°N 29.0982°E</v>
      </c>
      <c r="D9" s="7" t="s">
        <v>1186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5" x14ac:dyDescent="0.35">
      <c r="A10" s="2" t="s">
        <v>572</v>
      </c>
      <c r="B10" s="2" t="s">
        <v>32</v>
      </c>
      <c r="C10" s="7" t="str">
        <f>HYPERLINK("https://tools.wmflabs.org/geohack/geohack.php?params=40.1886_N_29.0988_E_type:city","40.1886°N 29.0988°E")</f>
        <v>40.1886°N 29.0988°E</v>
      </c>
      <c r="D10" s="7" t="s">
        <v>1186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5" x14ac:dyDescent="0.35">
      <c r="A11" s="2" t="s">
        <v>573</v>
      </c>
      <c r="B11" s="2" t="s">
        <v>35</v>
      </c>
      <c r="C11" s="7" t="str">
        <f>HYPERLINK("https://tools.wmflabs.org/geohack/geohack.php?params=40.2041_N_29.1322_E_type:city","40.2041°N 29.1322°E")</f>
        <v>40.2041°N 29.1322°E</v>
      </c>
      <c r="D11" s="7" t="s">
        <v>1189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5" x14ac:dyDescent="0.35">
      <c r="A12" s="2" t="s">
        <v>574</v>
      </c>
      <c r="B12" s="2" t="s">
        <v>39</v>
      </c>
      <c r="C12" s="7" t="str">
        <f>HYPERLINK("https://tools.wmflabs.org/geohack/geohack.php?params=40.1991_N_29.1354_E_type:city","40.1991°N 29.1354°E")</f>
        <v>40.1991°N 29.1354°E</v>
      </c>
      <c r="D12" s="7" t="s">
        <v>1189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5" x14ac:dyDescent="0.35">
      <c r="A13" s="2" t="s">
        <v>575</v>
      </c>
      <c r="B13" s="2" t="s">
        <v>43</v>
      </c>
      <c r="C13" s="7" t="str">
        <f>HYPERLINK("https://tools.wmflabs.org/geohack/geohack.php?params=40.1754_N_29.1730_E_type:city","40.1754°N 29.1730°E")</f>
        <v>40.1754°N 29.1730°E</v>
      </c>
      <c r="D13" s="7" t="s">
        <v>1187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5" x14ac:dyDescent="0.35">
      <c r="A14" s="2" t="s">
        <v>576</v>
      </c>
      <c r="B14" s="2" t="s">
        <v>47</v>
      </c>
      <c r="C14" s="7" t="str">
        <f>HYPERLINK("https://tools.wmflabs.org/geohack/geohack.php?params=40.1907_N_29.0826_E_type:city","40.1907°N 29.0826°E")</f>
        <v>40.1907°N 29.0826°E</v>
      </c>
      <c r="D14" s="7" t="s">
        <v>1188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5" x14ac:dyDescent="0.35">
      <c r="A15" s="2" t="s">
        <v>577</v>
      </c>
      <c r="B15" s="2" t="s">
        <v>51</v>
      </c>
      <c r="C15" s="7" t="str">
        <f>HYPERLINK("https://tools.wmflabs.org/geohack/geohack.php?params=40.1788_N_29.0846_E_type:city","40.1788°N 29.0846°E")</f>
        <v>40.1788°N 29.0846°E</v>
      </c>
      <c r="D15" s="7" t="s">
        <v>1188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5" x14ac:dyDescent="0.35">
      <c r="A16" s="2" t="s">
        <v>578</v>
      </c>
      <c r="B16" s="2" t="s">
        <v>54</v>
      </c>
      <c r="C16" s="7" t="str">
        <f>HYPERLINK("https://tools.wmflabs.org/geohack/geohack.php?params=40.1773_N_29.1088_E_type:city","40.1773°N 29.1088°E")</f>
        <v>40.1773°N 29.1088°E</v>
      </c>
      <c r="D16" s="7" t="s">
        <v>1186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5" x14ac:dyDescent="0.35">
      <c r="A17" s="2" t="s">
        <v>579</v>
      </c>
      <c r="B17" s="2" t="s">
        <v>59</v>
      </c>
      <c r="C17" s="7" t="str">
        <f>HYPERLINK("https://tools.wmflabs.org/geohack/geohack.php?params=40.1905_N_29.1783_E_type:city","40.1905°N 29.1783°E")</f>
        <v>40.1905°N 29.1783°E</v>
      </c>
      <c r="D17" s="7" t="s">
        <v>1187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5" x14ac:dyDescent="0.35">
      <c r="A18" s="2" t="s">
        <v>580</v>
      </c>
      <c r="B18" s="2" t="s">
        <v>64</v>
      </c>
      <c r="C18" s="7" t="str">
        <f>HYPERLINK("https://tools.wmflabs.org/geohack/geohack.php?params=40.2016_N_29.1792_E_type:city","40.2016°N 29.1792°E")</f>
        <v>40.2016°N 29.1792°E</v>
      </c>
      <c r="D18" s="7" t="s">
        <v>1187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5" x14ac:dyDescent="0.35">
      <c r="A19" s="2" t="s">
        <v>581</v>
      </c>
      <c r="B19" s="2" t="s">
        <v>68</v>
      </c>
      <c r="C19" s="7" t="str">
        <f>HYPERLINK("https://tools.wmflabs.org/geohack/geohack.php?params=40.1942_N_29.1021_E_type:city","40.1942°N 29.1021°E")</f>
        <v>40.1942°N 29.1021°E</v>
      </c>
      <c r="D19" s="7" t="s">
        <v>1186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5" x14ac:dyDescent="0.35">
      <c r="A20" s="2" t="s">
        <v>582</v>
      </c>
      <c r="B20" s="2" t="s">
        <v>72</v>
      </c>
      <c r="C20" s="7" t="str">
        <f>HYPERLINK("https://tools.wmflabs.org/geohack/geohack.php?params=40.1830_N_29.1065_E_type:city","40.1830°N 29.1065°E")</f>
        <v>40.1830°N 29.1065°E</v>
      </c>
      <c r="D20" s="7" t="s">
        <v>1186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35">
      <c r="A21" s="2" t="s">
        <v>583</v>
      </c>
      <c r="B21" s="2" t="s">
        <v>76</v>
      </c>
      <c r="C21" s="7" t="str">
        <f>HYPERLINK("https://tools.wmflabs.org/geohack/geohack.php?params=40.1808_N_29.0811_E_type:city","40.1808°N 29.0811°E")</f>
        <v>40.1808°N 29.0811°E</v>
      </c>
      <c r="D21" s="7" t="s">
        <v>1188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5">
      <c r="A22" s="2" t="s">
        <v>584</v>
      </c>
      <c r="B22" s="2" t="s">
        <v>80</v>
      </c>
      <c r="C22" s="7" t="str">
        <f>HYPERLINK("https://tools.wmflabs.org/geohack/geohack.php?params=40.1886_N_29.1369_E_type:city","40.1886°N 29.1369°E")</f>
        <v>40.1886°N 29.1369°E</v>
      </c>
      <c r="D22" s="7" t="s">
        <v>1189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35">
      <c r="A23" s="2" t="s">
        <v>585</v>
      </c>
      <c r="B23" s="2" t="s">
        <v>83</v>
      </c>
      <c r="C23" s="7" t="str">
        <f>HYPERLINK("https://tools.wmflabs.org/geohack/geohack.php?params=40.1794_N_29.1151_E_type:city","40.1794°N 29.1151°E")</f>
        <v>40.1794°N 29.1151°E</v>
      </c>
      <c r="D23" s="7" t="s">
        <v>1189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35">
      <c r="A24" s="2" t="s">
        <v>586</v>
      </c>
      <c r="B24" s="2" t="s">
        <v>87</v>
      </c>
      <c r="C24" s="7" t="str">
        <f>HYPERLINK("https://tools.wmflabs.org/geohack/geohack.php?params=40.1892_N_29.1454_E_type:city","40.1892°N 29.1454°E")</f>
        <v>40.1892°N 29.1454°E</v>
      </c>
      <c r="D24" s="7" t="s">
        <v>1187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35">
      <c r="A25" s="2" t="s">
        <v>587</v>
      </c>
      <c r="B25" s="2" t="s">
        <v>91</v>
      </c>
      <c r="C25" s="7" t="str">
        <f>HYPERLINK("https://tools.wmflabs.org/geohack/geohack.php?params=40.1776_N_29.1376_E_type:city","40.1776°N 29.1376°E")</f>
        <v>40.1776°N 29.1376°E</v>
      </c>
      <c r="D25" s="7" t="s">
        <v>1189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35">
      <c r="A26" s="2" t="s">
        <v>588</v>
      </c>
      <c r="B26" s="2" t="s">
        <v>95</v>
      </c>
      <c r="C26" s="7" t="str">
        <f>HYPERLINK("https://tools.wmflabs.org/geohack/geohack.php?params=40.1870_N_29.1184_E_type:city","40.1870°N 29.1184°E")</f>
        <v>40.1870°N 29.1184°E</v>
      </c>
      <c r="D26" s="7" t="s">
        <v>1189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5">
      <c r="A27" s="2" t="s">
        <v>589</v>
      </c>
      <c r="B27" s="2" t="s">
        <v>99</v>
      </c>
      <c r="C27" s="7" t="str">
        <f>HYPERLINK("https://tools.wmflabs.org/geohack/geohack.php?params=40.1964_N_29.1434_E_type:city","40.1964°N 29.1434°E")</f>
        <v>40.1964°N 29.1434°E</v>
      </c>
      <c r="D27" s="7" t="s">
        <v>1189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5">
      <c r="A28" s="2" t="s">
        <v>590</v>
      </c>
      <c r="B28" s="2" t="s">
        <v>102</v>
      </c>
      <c r="C28" s="7" t="str">
        <f>HYPERLINK("https://tools.wmflabs.org/geohack/geohack.php?params=40.1846_N_29.0818_E_type:city","40.1846°N 29.0818°E")</f>
        <v>40.1846°N 29.0818°E</v>
      </c>
      <c r="D28" s="7" t="s">
        <v>1188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5">
      <c r="A29" s="2" t="s">
        <v>591</v>
      </c>
      <c r="B29" s="2" t="s">
        <v>105</v>
      </c>
      <c r="C29" s="7" t="str">
        <f>HYPERLINK("https://tools.wmflabs.org/geohack/geohack.php?params=40.1736_N_29.1863_E_type:city","40.1736°N 29.1863°E")</f>
        <v>40.1736°N 29.1863°E</v>
      </c>
      <c r="D29" s="7" t="s">
        <v>1187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5">
      <c r="A30" s="2" t="s">
        <v>592</v>
      </c>
      <c r="B30" s="2" t="s">
        <v>109</v>
      </c>
      <c r="C30" s="7" t="str">
        <f>HYPERLINK("https://tools.wmflabs.org/geohack/geohack.php?params=40.1819_N_29.0787_E_type:city","40.1819°N 29.0787°E")</f>
        <v>40.1819°N 29.0787°E</v>
      </c>
      <c r="D30" s="7" t="s">
        <v>1188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5">
      <c r="A31" s="2" t="s">
        <v>593</v>
      </c>
      <c r="B31" s="2" t="s">
        <v>112</v>
      </c>
      <c r="C31" s="7" t="str">
        <f>HYPERLINK("https://tools.wmflabs.org/geohack/geohack.php?params=40.2054_N_29.1725_E_type:city","40.2054°N 29.1725°E")</f>
        <v>40.2054°N 29.1725°E</v>
      </c>
      <c r="D31" s="7" t="s">
        <v>1187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5">
      <c r="A32" s="2" t="s">
        <v>594</v>
      </c>
      <c r="B32" s="2" t="s">
        <v>116</v>
      </c>
      <c r="C32" s="7" t="str">
        <f>HYPERLINK("https://tools.wmflabs.org/geohack/geohack.php?params=40.1739_N_29.1192_E_type:city","40.1739°N 29.1192°E")</f>
        <v>40.1739°N 29.1192°E</v>
      </c>
      <c r="D32" s="7" t="s">
        <v>1189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5">
      <c r="A33" s="2" t="s">
        <v>595</v>
      </c>
      <c r="B33" s="2" t="s">
        <v>118</v>
      </c>
      <c r="C33" s="7" t="str">
        <f>HYPERLINK("https://tools.wmflabs.org/geohack/geohack.php?params=40.1778_N_29.0668_E_type:city","40.1778°N 29.0668°E")</f>
        <v>40.1778°N 29.0668°E</v>
      </c>
      <c r="D33" s="7" t="s">
        <v>1188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35">
      <c r="A34" s="2" t="s">
        <v>596</v>
      </c>
      <c r="B34" s="2" t="s">
        <v>122</v>
      </c>
      <c r="C34" s="7" t="str">
        <f>HYPERLINK("https://tools.wmflabs.org/geohack/geohack.php?params=40.1783_N_29.0784_E_type:city","40.1783°N 29.0784°E")</f>
        <v>40.1783°N 29.0784°E</v>
      </c>
      <c r="D34" s="7" t="s">
        <v>1188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35">
      <c r="A35" s="2" t="s">
        <v>597</v>
      </c>
      <c r="B35" s="2" t="s">
        <v>126</v>
      </c>
      <c r="C35" s="7" t="str">
        <f>HYPERLINK("https://tools.wmflabs.org/geohack/geohack.php?params=40.1935_N_29.1860_E_type:city","40.1935°N 29.1860°E")</f>
        <v>40.1935°N 29.1860°E</v>
      </c>
      <c r="D35" s="7" t="s">
        <v>1187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35">
      <c r="A36" s="2" t="s">
        <v>598</v>
      </c>
      <c r="B36" s="2" t="s">
        <v>129</v>
      </c>
      <c r="C36" s="7" t="str">
        <f>HYPERLINK("https://tools.wmflabs.org/geohack/geohack.php?params=40.2034_N_29.0996_E_type:city","40.2034°N 29.0996°E")</f>
        <v>40.2034°N 29.0996°E</v>
      </c>
      <c r="D36" s="7" t="s">
        <v>1186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35">
      <c r="A37" s="2" t="s">
        <v>599</v>
      </c>
      <c r="B37" s="2" t="s">
        <v>133</v>
      </c>
      <c r="C37" s="7" t="str">
        <f>HYPERLINK("https://tools.wmflabs.org/geohack/geohack.php?params=40.1806_N_29.0719_E_type:city","40.1806°N 29.0719°E")</f>
        <v>40.1806°N 29.0719°E</v>
      </c>
      <c r="D37" s="7" t="s">
        <v>1188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35">
      <c r="A38" s="2" t="s">
        <v>600</v>
      </c>
      <c r="B38" s="2" t="s">
        <v>135</v>
      </c>
      <c r="C38" s="7" t="str">
        <f>HYPERLINK("https://tools.wmflabs.org/geohack/geohack.php?params=40.1753_N_29.0968_E_type:city","40.1753°N 29.0968°E")</f>
        <v>40.1753°N 29.0968°E</v>
      </c>
      <c r="D38" s="7" t="s">
        <v>1186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35">
      <c r="A39" s="2" t="s">
        <v>601</v>
      </c>
      <c r="B39" s="2" t="s">
        <v>139</v>
      </c>
      <c r="C39" s="7" t="str">
        <f>HYPERLINK("https://tools.wmflabs.org/geohack/geohack.php?params=40.1846_N_29.0929_E_type:city","40.1846°N 29.0929°E")</f>
        <v>40.1846°N 29.0929°E</v>
      </c>
      <c r="D39" s="7" t="s">
        <v>1188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35">
      <c r="A40" s="2" t="s">
        <v>602</v>
      </c>
      <c r="B40" s="2" t="s">
        <v>143</v>
      </c>
      <c r="C40" s="7" t="str">
        <f>HYPERLINK("https://tools.wmflabs.org/geohack/geohack.php?params=40.2036_N_29.1149_E_type:city","40.2036°N 29.1149°E")</f>
        <v>40.2036°N 29.1149°E</v>
      </c>
      <c r="D40" s="7" t="s">
        <v>1189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35">
      <c r="A41" s="2" t="s">
        <v>603</v>
      </c>
      <c r="B41" s="2" t="s">
        <v>146</v>
      </c>
      <c r="C41" s="7" t="str">
        <f>HYPERLINK("https://tools.wmflabs.org/geohack/geohack.php?params=40.1829_N_29.0757_E_type:city","40.1829°N 29.0757°E")</f>
        <v>40.1829°N 29.0757°E</v>
      </c>
      <c r="D41" s="7" t="s">
        <v>1188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35">
      <c r="A42" s="2" t="s">
        <v>604</v>
      </c>
      <c r="B42" s="2" t="s">
        <v>150</v>
      </c>
      <c r="C42" s="7" t="str">
        <f>HYPERLINK("https://tools.wmflabs.org/geohack/geohack.php?params=40.2136_N_29.1046_E_type:city","40.2136°N 29.1046°E")</f>
        <v>40.2136°N 29.1046°E</v>
      </c>
      <c r="D42" s="7" t="s">
        <v>1186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35">
      <c r="A43" s="2" t="s">
        <v>605</v>
      </c>
      <c r="B43" s="2" t="s">
        <v>153</v>
      </c>
      <c r="C43" s="7" t="str">
        <f>HYPERLINK("https://tools.wmflabs.org/geohack/geohack.php?params=40.1848_N_29.1264_E_type:city","40.1848°N 29.1264°E")</f>
        <v>40.1848°N 29.1264°E</v>
      </c>
      <c r="D43" s="7" t="s">
        <v>1189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35">
      <c r="A44" s="2" t="s">
        <v>606</v>
      </c>
      <c r="B44" s="2" t="s">
        <v>157</v>
      </c>
      <c r="C44" s="7" t="str">
        <f>HYPERLINK("https://tools.wmflabs.org/geohack/geohack.php?params=40.1732_N_29.0735_E_type:city","40.1732°N 29.0735°E")</f>
        <v>40.1732°N 29.0735°E</v>
      </c>
      <c r="D44" s="7" t="s">
        <v>1188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35">
      <c r="A45" s="2" t="s">
        <v>607</v>
      </c>
      <c r="B45" s="2" t="s">
        <v>160</v>
      </c>
      <c r="C45" s="7" t="str">
        <f>HYPERLINK("https://tools.wmflabs.org/geohack/geohack.php?params=40.1773_N_29.0834_E_type:city","40.1773°N 29.0834°E")</f>
        <v>40.1773°N 29.0834°E</v>
      </c>
      <c r="D45" s="7" t="s">
        <v>1188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35">
      <c r="A46" s="2" t="s">
        <v>608</v>
      </c>
      <c r="B46" s="2" t="s">
        <v>166</v>
      </c>
      <c r="C46" s="7" t="str">
        <f>HYPERLINK("https://tools.wmflabs.org/geohack/geohack.php?params=40.1781_N_29.0770_E_type:city","40.1781°N 29.0770°E")</f>
        <v>40.1781°N 29.0770°E</v>
      </c>
      <c r="D46" s="7" t="s">
        <v>1188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35">
      <c r="A47" s="2" t="s">
        <v>609</v>
      </c>
      <c r="B47" s="2" t="s">
        <v>170</v>
      </c>
      <c r="C47" s="7" t="str">
        <f>HYPERLINK("https://tools.wmflabs.org/geohack/geohack.php?params=40.1884_N_29.1129_E_type:city","40.1884°N 29.1129°E")</f>
        <v>40.1884°N 29.1129°E</v>
      </c>
      <c r="D47" s="7" t="s">
        <v>1186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35">
      <c r="A48" s="2" t="s">
        <v>610</v>
      </c>
      <c r="B48" s="2" t="s">
        <v>174</v>
      </c>
      <c r="C48" s="7" t="str">
        <f>HYPERLINK("https://tools.wmflabs.org/geohack/geohack.php?params=40.1728_N_29.0818_E_type:city","40.1728°N 29.0818°E")</f>
        <v>40.1728°N 29.0818°E</v>
      </c>
      <c r="D48" s="7" t="s">
        <v>1188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35">
      <c r="A49" s="2" t="s">
        <v>611</v>
      </c>
      <c r="B49" s="2" t="s">
        <v>178</v>
      </c>
      <c r="C49" s="7" t="str">
        <f>HYPERLINK("https://tools.wmflabs.org/geohack/geohack.php?params=40.2226_N_29.1011_E_type:city","40.2226°N 29.1011°E")</f>
        <v>40.2226°N 29.1011°E</v>
      </c>
      <c r="D49" s="7" t="s">
        <v>1186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35">
      <c r="A50" s="2" t="s">
        <v>612</v>
      </c>
      <c r="B50" s="2" t="s">
        <v>183</v>
      </c>
      <c r="C50" s="7" t="str">
        <f>HYPERLINK("https://tools.wmflabs.org/geohack/geohack.php?params=40.2303_N_29.1153_E_type:city","40.2303°N 29.1153°E")</f>
        <v>40.2303°N 29.1153°E</v>
      </c>
      <c r="D50" s="7" t="s">
        <v>1189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35">
      <c r="A51" s="2" t="s">
        <v>613</v>
      </c>
      <c r="B51" s="2" t="s">
        <v>187</v>
      </c>
      <c r="C51" s="7" t="str">
        <f>HYPERLINK("https://tools.wmflabs.org/geohack/geohack.php?params=40.1832_N_29.1119_E_type:city","40.1832°N 29.1119°E")</f>
        <v>40.1832°N 29.1119°E</v>
      </c>
      <c r="D51" s="7" t="s">
        <v>1186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35">
      <c r="A52" s="2" t="s">
        <v>614</v>
      </c>
      <c r="B52" s="2" t="s">
        <v>191</v>
      </c>
      <c r="C52" s="7" t="str">
        <f>HYPERLINK("https://tools.wmflabs.org/geohack/geohack.php?params=40.1848_N_29.0780_E_type:city","40.1848°N 29.0780°E")</f>
        <v>40.1848°N 29.0780°E</v>
      </c>
      <c r="D52" s="7" t="s">
        <v>1188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35">
      <c r="A53" s="2" t="s">
        <v>615</v>
      </c>
      <c r="B53" s="2" t="s">
        <v>194</v>
      </c>
      <c r="C53" s="7" t="str">
        <f>HYPERLINK("https://tools.wmflabs.org/geohack/geohack.php?params=40.1854_N_29.0881_E_type:city","40.1854°N 29.0881°E")</f>
        <v>40.1854°N 29.0881°E</v>
      </c>
      <c r="D53" s="7" t="s">
        <v>1188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35">
      <c r="A54" s="2" t="s">
        <v>616</v>
      </c>
      <c r="B54" s="2" t="s">
        <v>198</v>
      </c>
      <c r="C54" s="7" t="str">
        <f>HYPERLINK("https://tools.wmflabs.org/geohack/geohack.php?params=40.2012_N_29.1610_E_type:city","40.2012°N 29.1610°E")</f>
        <v>40.2012°N 29.1610°E</v>
      </c>
      <c r="D54" s="7" t="s">
        <v>1187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35">
      <c r="A55" s="2" t="s">
        <v>617</v>
      </c>
      <c r="B55" s="2" t="s">
        <v>202</v>
      </c>
      <c r="C55" s="7" t="str">
        <f>HYPERLINK("https://tools.wmflabs.org/geohack/geohack.php?params=40.1782_N_29.1242_E_type:city","40.1782°N 29.1242°E")</f>
        <v>40.1782°N 29.1242°E</v>
      </c>
      <c r="D55" s="7" t="s">
        <v>1189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35">
      <c r="A56" s="2" t="s">
        <v>618</v>
      </c>
      <c r="B56" s="2" t="s">
        <v>205</v>
      </c>
      <c r="C56" s="7" t="str">
        <f>HYPERLINK("https://tools.wmflabs.org/geohack/geohack.php?params=40.1786_N_29.0919_E_type:city","40.1786°N 29.0919°E")</f>
        <v>40.1786°N 29.0919°E</v>
      </c>
      <c r="D56" s="7" t="s">
        <v>1188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35">
      <c r="A57" s="2" t="s">
        <v>619</v>
      </c>
      <c r="B57" s="2" t="s">
        <v>207</v>
      </c>
      <c r="C57" s="7" t="str">
        <f>HYPERLINK("https://tools.wmflabs.org/geohack/geohack.php?params=40.1523_N_29.3499_E_type:city","40.1523°N 29.3499°E")</f>
        <v>40.1523°N 29.3499°E</v>
      </c>
      <c r="D57" s="7" t="s">
        <v>1187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35">
      <c r="A58" s="2" t="s">
        <v>620</v>
      </c>
      <c r="B58" s="2" t="s">
        <v>210</v>
      </c>
      <c r="C58" s="7" t="str">
        <f>HYPERLINK("https://tools.wmflabs.org/geohack/geohack.php?params=40.1703_N_29.0814_E_type:city","40.1703°N 29.0814°E")</f>
        <v>40.1703°N 29.0814°E</v>
      </c>
      <c r="D58" s="7" t="s">
        <v>1188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35">
      <c r="A59" s="2" t="s">
        <v>621</v>
      </c>
      <c r="B59" s="2" t="s">
        <v>214</v>
      </c>
      <c r="C59" s="7" t="str">
        <f>HYPERLINK("https://tools.wmflabs.org/geohack/geohack.php?params=40.2015_N_29.1206_E_type:city","40.2015°N 29.1206°E")</f>
        <v>40.2015°N 29.1206°E</v>
      </c>
      <c r="D59" s="7" t="s">
        <v>1189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35">
      <c r="A60" s="2" t="s">
        <v>622</v>
      </c>
      <c r="B60" s="2" t="s">
        <v>218</v>
      </c>
      <c r="C60" s="7" t="str">
        <f>HYPERLINK("https://tools.wmflabs.org/geohack/geohack.php?params=40.1764_N_29.0723_E_type:city","40.1764°N 29.0723°E")</f>
        <v>40.1764°N 29.0723°E</v>
      </c>
      <c r="D60" s="7" t="s">
        <v>1188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35">
      <c r="A61" s="2" t="s">
        <v>623</v>
      </c>
      <c r="B61" s="2" t="s">
        <v>220</v>
      </c>
      <c r="C61" s="7" t="str">
        <f>HYPERLINK("https://tools.wmflabs.org/geohack/geohack.php?params=40.2153_N_29.1476_E_type:city","40.2153°N 29.1476°E")</f>
        <v>40.2153°N 29.1476°E</v>
      </c>
      <c r="D61" s="7" t="s">
        <v>1187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35">
      <c r="A62" s="2" t="s">
        <v>624</v>
      </c>
      <c r="B62" s="2" t="s">
        <v>225</v>
      </c>
      <c r="C62" s="7" t="str">
        <f>HYPERLINK("https://tools.wmflabs.org/geohack/geohack.php?params=40.1836_N_29.1122_E_type:city","40.1836°N 29.1122°E")</f>
        <v>40.1836°N 29.1122°E</v>
      </c>
      <c r="D62" s="7" t="s">
        <v>1186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35">
      <c r="A63" s="2" t="s">
        <v>625</v>
      </c>
      <c r="B63" s="2" t="s">
        <v>229</v>
      </c>
      <c r="C63" s="7" t="str">
        <f>HYPERLINK("https://tools.wmflabs.org/geohack/geohack.php?params=40.1963_N_29.1145_E_type:city","40.1963°N 29.1145°E")</f>
        <v>40.1963°N 29.1145°E</v>
      </c>
      <c r="D63" s="7" t="s">
        <v>1189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35">
      <c r="A64" s="2" t="s">
        <v>626</v>
      </c>
      <c r="B64" s="2" t="s">
        <v>232</v>
      </c>
      <c r="C64" s="7" t="str">
        <f>HYPERLINK("https://tools.wmflabs.org/geohack/geohack.php?params=40.1804_N_29.0883_E_type:city","40.1804°N 29.0883°E")</f>
        <v>40.1804°N 29.0883°E</v>
      </c>
      <c r="D64" s="7" t="s">
        <v>1188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35">
      <c r="A65" s="2" t="s">
        <v>627</v>
      </c>
      <c r="B65" s="2" t="s">
        <v>235</v>
      </c>
      <c r="C65" s="7" t="str">
        <f>HYPERLINK("https://tools.wmflabs.org/geohack/geohack.php?params=40.1740_N_29.0773_E_type:city","40.1740°N 29.0773°E")</f>
        <v>40.1740°N 29.0773°E</v>
      </c>
      <c r="D65" s="7" t="s">
        <v>1188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35">
      <c r="A66" s="2" t="s">
        <v>628</v>
      </c>
      <c r="B66" s="2" t="s">
        <v>239</v>
      </c>
      <c r="C66" s="7" t="str">
        <f>HYPERLINK("https://tools.wmflabs.org/geohack/geohack.php?params=40.1802_N_29.0738_E_type:city","40.1802°N 29.0738°E")</f>
        <v>40.1802°N 29.0738°E</v>
      </c>
      <c r="D66" s="7" t="s">
        <v>1188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35">
      <c r="A67" s="2" t="s">
        <v>629</v>
      </c>
      <c r="B67" s="2" t="s">
        <v>243</v>
      </c>
      <c r="C67" s="7" t="str">
        <f>HYPERLINK("https://tools.wmflabs.org/geohack/geohack.php?params=40.1792_N_29.0973_E_type:city","40.1792°N 29.0973°E")</f>
        <v>40.1792°N 29.0973°E</v>
      </c>
      <c r="D67" s="7" t="s">
        <v>1186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35">
      <c r="A68" s="2" t="s">
        <v>630</v>
      </c>
      <c r="B68" s="2" t="s">
        <v>246</v>
      </c>
      <c r="C68" s="7" t="str">
        <f>HYPERLINK("https://tools.wmflabs.org/geohack/geohack.php?params=40.1920_N_29.1577_E_type:city","40.1920°N 29.1577°E")</f>
        <v>40.1920°N 29.1577°E</v>
      </c>
      <c r="D68" s="7" t="s">
        <v>1187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35">
      <c r="A69" s="2" t="s">
        <v>631</v>
      </c>
      <c r="B69" s="2" t="s">
        <v>248</v>
      </c>
      <c r="C69" s="7" t="str">
        <f>HYPERLINK("https://tools.wmflabs.org/geohack/geohack.php?params=40.1881_N_29.0805_E_type:city","40.1881°N 29.0805°E")</f>
        <v>40.1881°N 29.0805°E</v>
      </c>
      <c r="D69" s="7" t="s">
        <v>1188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35">
      <c r="A70" s="2" t="s">
        <v>632</v>
      </c>
      <c r="B70" s="2" t="s">
        <v>253</v>
      </c>
      <c r="C70" s="7" t="str">
        <f>HYPERLINK("https://tools.wmflabs.org/geohack/geohack.php?params=40.2082_N_29.1079_E_type:city","40.2082°N 29.1079°E")</f>
        <v>40.2082°N 29.1079°E</v>
      </c>
      <c r="D70" s="7" t="s">
        <v>1186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35">
      <c r="A71" s="2" t="s">
        <v>633</v>
      </c>
      <c r="B71" s="2" t="s">
        <v>257</v>
      </c>
      <c r="C71" s="7" t="str">
        <f>HYPERLINK("https://tools.wmflabs.org/geohack/geohack.php?params=40.1553_N_29.1057_E_type:city","40.1553°N 29.1057°E")</f>
        <v>40.1553°N 29.1057°E</v>
      </c>
      <c r="D71" s="7" t="s">
        <v>1186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35">
      <c r="A72" s="2" t="s">
        <v>634</v>
      </c>
      <c r="B72" s="2" t="s">
        <v>261</v>
      </c>
      <c r="C72" s="7" t="str">
        <f>HYPERLINK("https://tools.wmflabs.org/geohack/geohack.php?params=40.1750_N_29.0939_E_type:city","40.1750°N 29.0939°E")</f>
        <v>40.1750°N 29.0939°E</v>
      </c>
      <c r="D72" s="7" t="s">
        <v>1188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7" type="noConversion"/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zoomScale="80" zoomScaleNormal="80" workbookViewId="0">
      <pane ySplit="1" topLeftCell="A119" activePane="bottomLeft" state="frozen"/>
      <selection pane="bottomLeft" activeCell="D1" sqref="D1:D1048576"/>
    </sheetView>
  </sheetViews>
  <sheetFormatPr defaultColWidth="20.6328125" defaultRowHeight="15" customHeight="1" x14ac:dyDescent="0.35"/>
  <cols>
    <col min="1" max="1" width="10.6328125" customWidth="1"/>
  </cols>
  <sheetData>
    <row r="1" spans="1:27" ht="14.5" x14ac:dyDescent="0.35">
      <c r="A1" s="3" t="s">
        <v>563</v>
      </c>
      <c r="B1" s="3" t="s">
        <v>0</v>
      </c>
      <c r="C1" s="4" t="s">
        <v>1</v>
      </c>
      <c r="D1" s="4" t="s">
        <v>1185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5" x14ac:dyDescent="0.35">
      <c r="A2" s="6" t="s">
        <v>635</v>
      </c>
      <c r="B2" s="6" t="s">
        <v>5</v>
      </c>
      <c r="C2" s="8" t="str">
        <f>HYPERLINK("https://tools.wmflabs.org/geohack/geohack.php?params=40.2305_N_29.0051_E_type:city","40.2305°N 29.0051°E")</f>
        <v>40.2305°N 29.0051°E</v>
      </c>
      <c r="D2" s="8" t="s">
        <v>1190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4.5" x14ac:dyDescent="0.35">
      <c r="A3" s="6" t="s">
        <v>636</v>
      </c>
      <c r="B3" s="6" t="s">
        <v>10</v>
      </c>
      <c r="C3" s="8" t="str">
        <f>HYPERLINK("https://tools.wmflabs.org/geohack/geohack.php?params=40.2951_N_28.9974_E_type:city","40.2951°N 28.9974°E")</f>
        <v>40.2951°N 28.9974°E</v>
      </c>
      <c r="D3" s="8" t="s">
        <v>1190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4.5" x14ac:dyDescent="0.35">
      <c r="A4" s="6" t="s">
        <v>637</v>
      </c>
      <c r="B4" s="6" t="s">
        <v>16</v>
      </c>
      <c r="C4" s="8" t="str">
        <f>HYPERLINK("https://tools.wmflabs.org/geohack/geohack.php?params=40.1925_N_29.0591_E_type:city","40.1925°N 29.0591°E")</f>
        <v>40.1925°N 29.0591°E</v>
      </c>
      <c r="D4" s="8" t="s">
        <v>1191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5" x14ac:dyDescent="0.35">
      <c r="A5" s="6" t="s">
        <v>638</v>
      </c>
      <c r="B5" s="6" t="s">
        <v>20</v>
      </c>
      <c r="C5" s="8" t="str">
        <f>HYPERLINK("https://tools.wmflabs.org/geohack/geohack.php?params=40.2464_N_28.9678_E_type:city","40.2464°N 28.9678°E")</f>
        <v>40.2464°N 28.9678°E</v>
      </c>
      <c r="D5" s="8" t="s">
        <v>1192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5" x14ac:dyDescent="0.35">
      <c r="A6" s="6" t="s">
        <v>639</v>
      </c>
      <c r="B6" s="6" t="s">
        <v>24</v>
      </c>
      <c r="C6" s="8" t="str">
        <f>HYPERLINK("https://tools.wmflabs.org/geohack/geohack.php?params=40.3026_N_28.9733_E_type:city","40.3026°N 28.9733°E")</f>
        <v>40.3026°N 28.9733°E</v>
      </c>
      <c r="D6" s="8" t="s">
        <v>1192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4.5" x14ac:dyDescent="0.35">
      <c r="A7" s="6" t="s">
        <v>640</v>
      </c>
      <c r="B7" s="6" t="s">
        <v>29</v>
      </c>
      <c r="C7" s="8" t="str">
        <f>HYPERLINK("https://tools.wmflabs.org/geohack/geohack.php?params=40.1895_N_29.0594_E_type:city","40.1895°N 29.0594°E")</f>
        <v>40.1895°N 29.0594°E</v>
      </c>
      <c r="D7" s="8" t="s">
        <v>1191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4.5" x14ac:dyDescent="0.35">
      <c r="A8" s="6" t="s">
        <v>641</v>
      </c>
      <c r="B8" s="6" t="s">
        <v>33</v>
      </c>
      <c r="C8" s="8" t="str">
        <f>HYPERLINK("https://tools.wmflabs.org/geohack/geohack.php?params=40.1858_N_29.0507_E_type:city","40.1858°N 29.0507°E")</f>
        <v>40.1858°N 29.0507°E</v>
      </c>
      <c r="D8" s="8" t="s">
        <v>1193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4.5" x14ac:dyDescent="0.35">
      <c r="A9" s="6" t="s">
        <v>642</v>
      </c>
      <c r="B9" s="6" t="s">
        <v>37</v>
      </c>
      <c r="C9" s="8" t="str">
        <f>HYPERLINK("https://tools.wmflabs.org/geohack/geohack.php?params=40.1806_N_29.0463_E_type:city","40.1806°N 29.0463°E")</f>
        <v>40.1806°N 29.0463°E</v>
      </c>
      <c r="D9" s="8" t="s">
        <v>1193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4.5" x14ac:dyDescent="0.35">
      <c r="A10" s="6" t="s">
        <v>643</v>
      </c>
      <c r="B10" s="6" t="s">
        <v>40</v>
      </c>
      <c r="C10" s="8" t="str">
        <f>HYPERLINK("https://tools.wmflabs.org/geohack/geohack.php?params=40.1841_N_29.0674_E_type:city","40.1841°N 29.0674°E")</f>
        <v>40.1841°N 29.0674°E</v>
      </c>
      <c r="D10" s="8" t="s">
        <v>1194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4.5" x14ac:dyDescent="0.35">
      <c r="A11" s="6" t="s">
        <v>644</v>
      </c>
      <c r="B11" s="6" t="s">
        <v>44</v>
      </c>
      <c r="C11" s="8" t="str">
        <f>HYPERLINK("https://tools.wmflabs.org/geohack/geohack.php?params=40.2762_N_29.0551_E_type:city","40.2762°N 29.0551°E")</f>
        <v>40.2762°N 29.0551°E</v>
      </c>
      <c r="D11" s="8" t="s">
        <v>1191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4.5" x14ac:dyDescent="0.35">
      <c r="A12" s="6" t="s">
        <v>645</v>
      </c>
      <c r="B12" s="6" t="s">
        <v>48</v>
      </c>
      <c r="C12" s="8" t="str">
        <f>HYPERLINK("https://tools.wmflabs.org/geohack/geohack.php?params=40.2110_N_29.0347_E_type:city","40.2110°N 29.0347°E")</f>
        <v>40.2110°N 29.0347°E</v>
      </c>
      <c r="D12" s="8" t="s">
        <v>1193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4.5" x14ac:dyDescent="0.35">
      <c r="A13" s="6" t="s">
        <v>646</v>
      </c>
      <c r="B13" s="6" t="s">
        <v>52</v>
      </c>
      <c r="C13" s="8" t="str">
        <f>HYPERLINK("https://tools.wmflabs.org/geohack/geohack.php?params=40.1802_N_29.0593_E_type:city","40.1802°N 29.0593°E")</f>
        <v>40.1802°N 29.0593°E</v>
      </c>
      <c r="D13" s="8" t="s">
        <v>1191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4.5" x14ac:dyDescent="0.35">
      <c r="A14" s="6" t="s">
        <v>647</v>
      </c>
      <c r="B14" s="6" t="s">
        <v>56</v>
      </c>
      <c r="C14" s="8" t="str">
        <f>HYPERLINK("https://tools.wmflabs.org/geohack/geohack.php?params=40.2212_N_29.0657_E_type:city","40.2212°N 29.0657°E")</f>
        <v>40.2212°N 29.0657°E</v>
      </c>
      <c r="D14" s="8" t="s">
        <v>1194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4.5" x14ac:dyDescent="0.35">
      <c r="A15" s="6" t="s">
        <v>648</v>
      </c>
      <c r="B15" s="6" t="s">
        <v>58</v>
      </c>
      <c r="C15" s="8" t="str">
        <f>HYPERLINK("https://tools.wmflabs.org/geohack/geohack.php?params=40.1921_N_29.0513_E_type:city","40.1921°N 29.0513°E")</f>
        <v>40.1921°N 29.0513°E</v>
      </c>
      <c r="D15" s="8" t="s">
        <v>1193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4.5" x14ac:dyDescent="0.35">
      <c r="A16" s="6" t="s">
        <v>649</v>
      </c>
      <c r="B16" s="6" t="s">
        <v>62</v>
      </c>
      <c r="C16" s="8" t="str">
        <f>HYPERLINK("https://tools.wmflabs.org/geohack/geohack.php?params=40.2719_N_29.0398_E_type:city","40.2719°N 29.0398°E")</f>
        <v>40.2719°N 29.0398°E</v>
      </c>
      <c r="D16" s="8" t="s">
        <v>1193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4.5" x14ac:dyDescent="0.35">
      <c r="A17" s="6" t="s">
        <v>650</v>
      </c>
      <c r="B17" s="6" t="s">
        <v>66</v>
      </c>
      <c r="C17" s="8" t="str">
        <f>HYPERLINK("https://tools.wmflabs.org/geohack/geohack.php?params=40.2005_N_29.0812_E_type:city","40.2005°N 29.0812°E")</f>
        <v>40.2005°N 29.0812°E</v>
      </c>
      <c r="D17" s="8" t="s">
        <v>1195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4.5" x14ac:dyDescent="0.35">
      <c r="A18" s="6" t="s">
        <v>651</v>
      </c>
      <c r="B18" s="6" t="s">
        <v>70</v>
      </c>
      <c r="C18" s="8" t="str">
        <f>HYPERLINK("https://tools.wmflabs.org/geohack/geohack.php?params=40.3058_N_29.1645_E_type:city","40.3058°N 29.1645°E")</f>
        <v>40.3058°N 29.1645°E</v>
      </c>
      <c r="D18" s="8" t="s">
        <v>1195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4.5" x14ac:dyDescent="0.35">
      <c r="A19" s="6" t="s">
        <v>652</v>
      </c>
      <c r="B19" s="6" t="s">
        <v>74</v>
      </c>
      <c r="C19" s="8" t="str">
        <f>HYPERLINK("https://tools.wmflabs.org/geohack/geohack.php?params=40.2342_N_28.9871_E_type:city","40.2342°N 28.9871°E")</f>
        <v>40.2342°N 28.9871°E</v>
      </c>
      <c r="D19" s="8" t="s">
        <v>1192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4.5" x14ac:dyDescent="0.35">
      <c r="A20" s="6" t="s">
        <v>653</v>
      </c>
      <c r="B20" s="6" t="s">
        <v>77</v>
      </c>
      <c r="C20" s="8" t="str">
        <f>HYPERLINK("https://tools.wmflabs.org/geohack/geohack.php?params=40.0777_N_29.0951_E_type:city","40.0777°N 29.0951°E")</f>
        <v>40.0777°N 29.0951°E</v>
      </c>
      <c r="D20" s="8" t="s">
        <v>1195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35">
      <c r="A21" s="6" t="s">
        <v>654</v>
      </c>
      <c r="B21" s="6" t="s">
        <v>81</v>
      </c>
      <c r="C21" s="8" t="str">
        <f>HYPERLINK("https://tools.wmflabs.org/geohack/geohack.php?params=40.2020_N_29.0627_E_type:city","40.2020°N 29.0627°E")</f>
        <v>40.2020°N 29.0627°E</v>
      </c>
      <c r="D21" s="8" t="s">
        <v>1194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customHeight="1" x14ac:dyDescent="0.35">
      <c r="A22" s="6" t="s">
        <v>655</v>
      </c>
      <c r="B22" s="6" t="s">
        <v>85</v>
      </c>
      <c r="C22" s="8" t="str">
        <f>HYPERLINK("https://tools.wmflabs.org/geohack/geohack.php?params=40.2081_N_29.0722_E_type:city","40.2081°N 29.0722°E")</f>
        <v>40.2081°N 29.0722°E</v>
      </c>
      <c r="D22" s="8" t="s">
        <v>1195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35">
      <c r="A23" s="6" t="s">
        <v>656</v>
      </c>
      <c r="B23" s="6" t="s">
        <v>88</v>
      </c>
      <c r="C23" s="8" t="str">
        <f>HYPERLINK("https://tools.wmflabs.org/geohack/geohack.php?params=40.0134_N_29.2054_E_type:city","40.0134°N 29.2054°E")</f>
        <v>40.0134°N 29.2054°E</v>
      </c>
      <c r="D23" s="8" t="s">
        <v>1195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 x14ac:dyDescent="0.35">
      <c r="A24" s="6" t="s">
        <v>657</v>
      </c>
      <c r="B24" s="6" t="s">
        <v>92</v>
      </c>
      <c r="C24" s="8" t="str">
        <f>HYPERLINK("https://tools.wmflabs.org/geohack/geohack.php?params=40.2955_N_29.0215_E_type:city","40.2955°N 29.0215°E")</f>
        <v>40.2955°N 29.0215°E</v>
      </c>
      <c r="D24" s="8" t="s">
        <v>1190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.75" customHeight="1" x14ac:dyDescent="0.35">
      <c r="A25" s="6" t="s">
        <v>658</v>
      </c>
      <c r="B25" s="6" t="s">
        <v>96</v>
      </c>
      <c r="C25" s="8" t="str">
        <f>HYPERLINK("https://tools.wmflabs.org/geohack/geohack.php?params=40.0360_N_29.0973_E_type:city","40.0360°N 29.0973°E")</f>
        <v>40.0360°N 29.0973°E</v>
      </c>
      <c r="D25" s="8" t="s">
        <v>1195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customHeight="1" x14ac:dyDescent="0.35">
      <c r="A26" s="6" t="s">
        <v>659</v>
      </c>
      <c r="B26" s="6" t="s">
        <v>100</v>
      </c>
      <c r="C26" s="8" t="str">
        <f>HYPERLINK("https://tools.wmflabs.org/geohack/geohack.php?params=40.2014_N_29.0238_E_type:city","40.2014°N 29.0238°E")</f>
        <v>40.2014°N 29.0238°E</v>
      </c>
      <c r="D26" s="8" t="s">
        <v>1190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customHeight="1" x14ac:dyDescent="0.35">
      <c r="A27" s="6" t="s">
        <v>660</v>
      </c>
      <c r="B27" s="6" t="s">
        <v>103</v>
      </c>
      <c r="C27" s="8" t="str">
        <f>HYPERLINK("https://tools.wmflabs.org/geohack/geohack.php?params=40.2412_N_29.0277_E_type:city","40.2412°N 29.0277°E")</f>
        <v>40.2412°N 29.0277°E</v>
      </c>
      <c r="D27" s="8" t="s">
        <v>1190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customHeight="1" x14ac:dyDescent="0.35">
      <c r="A28" s="6" t="s">
        <v>661</v>
      </c>
      <c r="B28" s="6" t="s">
        <v>106</v>
      </c>
      <c r="C28" s="8" t="str">
        <f>HYPERLINK("https://tools.wmflabs.org/geohack/geohack.php?params=40.2111_N_29.0521_E_type:city","40.2111°N 29.0521°E")</f>
        <v>40.2111°N 29.0521°E</v>
      </c>
      <c r="D28" s="8" t="s">
        <v>1193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.75" customHeight="1" x14ac:dyDescent="0.35">
      <c r="A29" s="6" t="s">
        <v>662</v>
      </c>
      <c r="B29" s="6" t="s">
        <v>110</v>
      </c>
      <c r="C29" s="8" t="str">
        <f>HYPERLINK("https://tools.wmflabs.org/geohack/geohack.php?params=40.2052_N_29.0447_E_type:city","40.2052°N 29.0447°E")</f>
        <v>40.2052°N 29.0447°E</v>
      </c>
      <c r="D29" s="8" t="s">
        <v>1193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5.75" customHeight="1" x14ac:dyDescent="0.35">
      <c r="A30" s="6" t="s">
        <v>663</v>
      </c>
      <c r="B30" s="6" t="s">
        <v>113</v>
      </c>
      <c r="C30" s="8" t="str">
        <f>HYPERLINK("https://tools.wmflabs.org/geohack/geohack.php?params=40.1943_N_29.0520_E_type:city","40.1943°N 29.0520°E")</f>
        <v>40.1943°N 29.0520°E</v>
      </c>
      <c r="D30" s="8" t="s">
        <v>1193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.75" customHeight="1" x14ac:dyDescent="0.35">
      <c r="A31" s="6" t="s">
        <v>664</v>
      </c>
      <c r="B31" s="6" t="s">
        <v>119</v>
      </c>
      <c r="C31" s="8" t="str">
        <f>HYPERLINK("https://tools.wmflabs.org/geohack/geohack.php?params=40.2378_N_29.0418_E_type:city","40.2378°N 29.0418°E")</f>
        <v>40.2378°N 29.0418°E</v>
      </c>
      <c r="D31" s="8" t="s">
        <v>1193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75" customHeight="1" x14ac:dyDescent="0.35">
      <c r="A32" s="6" t="s">
        <v>665</v>
      </c>
      <c r="B32" s="6" t="s">
        <v>123</v>
      </c>
      <c r="C32" s="8" t="str">
        <f>HYPERLINK("https://tools.wmflabs.org/geohack/geohack.php?params=40.0783_N_28.9629_E_type:city","40.0783°N 28.9629°E")</f>
        <v>40.0783°N 28.9629°E</v>
      </c>
      <c r="D32" s="8" t="s">
        <v>1192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5.75" customHeight="1" x14ac:dyDescent="0.35">
      <c r="A33" s="6" t="s">
        <v>666</v>
      </c>
      <c r="B33" s="6" t="s">
        <v>128</v>
      </c>
      <c r="C33" s="8" t="str">
        <f>HYPERLINK("https://tools.wmflabs.org/geohack/geohack.php?params=40.1882_N_29.0408_E_type:city","40.1882°N 29.0408°E")</f>
        <v>40.1882°N 29.0408°E</v>
      </c>
      <c r="D33" s="8" t="s">
        <v>1193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 x14ac:dyDescent="0.35">
      <c r="A34" s="6" t="s">
        <v>667</v>
      </c>
      <c r="B34" s="6" t="s">
        <v>131</v>
      </c>
      <c r="C34" s="8" t="str">
        <f>HYPERLINK("https://tools.wmflabs.org/geohack/geohack.php?params=40.2743_N_29.1024_E_type:city","40.2743°N 29.1024°E")</f>
        <v>40.2743°N 29.1024°E</v>
      </c>
      <c r="D34" s="8" t="s">
        <v>1195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75" customHeight="1" x14ac:dyDescent="0.35">
      <c r="A35" s="6" t="s">
        <v>668</v>
      </c>
      <c r="B35" s="6" t="s">
        <v>136</v>
      </c>
      <c r="C35" s="8" t="str">
        <f>HYPERLINK("https://tools.wmflabs.org/geohack/geohack.php?params=40.2667_N_29.0956_E_type:city","40.2667°N 29.0956°E")</f>
        <v>40.2667°N 29.0956°E</v>
      </c>
      <c r="D35" s="8" t="s">
        <v>1195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 x14ac:dyDescent="0.35">
      <c r="A36" s="6" t="s">
        <v>669</v>
      </c>
      <c r="B36" s="6" t="s">
        <v>141</v>
      </c>
      <c r="C36" s="8" t="str">
        <f>HYPERLINK("https://tools.wmflabs.org/geohack/geohack.php?params=40.2758_N_29.0936_E_type:city","40.2758°N 29.0936°E")</f>
        <v>40.2758°N 29.0936°E</v>
      </c>
      <c r="D36" s="8" t="s">
        <v>1195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75" customHeight="1" x14ac:dyDescent="0.35">
      <c r="A37" s="6" t="s">
        <v>670</v>
      </c>
      <c r="B37" s="6" t="s">
        <v>145</v>
      </c>
      <c r="C37" s="8" t="str">
        <f>HYPERLINK("https://tools.wmflabs.org/geohack/geohack.php?params=40.2898_N_29.1028_E_type:city","40.2898°N 29.1028°E")</f>
        <v>40.2898°N 29.1028°E</v>
      </c>
      <c r="D37" s="8" t="s">
        <v>1195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customHeight="1" x14ac:dyDescent="0.35">
      <c r="A38" s="6" t="s">
        <v>671</v>
      </c>
      <c r="B38" s="6" t="s">
        <v>149</v>
      </c>
      <c r="C38" s="8" t="str">
        <f>HYPERLINK("https://tools.wmflabs.org/geohack/geohack.php?params=40.1874_N_29.0695_E_type:city","40.1874°N 29.0695°E")</f>
        <v>40.1874°N 29.0695°E</v>
      </c>
      <c r="D38" s="8" t="s">
        <v>1194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75" customHeight="1" x14ac:dyDescent="0.35">
      <c r="A39" s="6" t="s">
        <v>672</v>
      </c>
      <c r="B39" s="6" t="s">
        <v>154</v>
      </c>
      <c r="C39" s="8" t="str">
        <f>HYPERLINK("https://tools.wmflabs.org/geohack/geohack.php?params=40.2746_N_29.0025_E_type:city","40.2746°N 29.0025°E")</f>
        <v>40.2746°N 29.0025°E</v>
      </c>
      <c r="D39" s="8" t="s">
        <v>1190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.75" customHeight="1" x14ac:dyDescent="0.35">
      <c r="A40" s="6" t="s">
        <v>673</v>
      </c>
      <c r="B40" s="6" t="s">
        <v>158</v>
      </c>
      <c r="C40" s="8" t="str">
        <f>HYPERLINK("https://tools.wmflabs.org/geohack/geohack.php?params=40.2070_N_29.0097_E_type:city","40.2070°N 29.0097°E")</f>
        <v>40.2070°N 29.0097°E</v>
      </c>
      <c r="D40" s="8" t="s">
        <v>1190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.75" customHeight="1" x14ac:dyDescent="0.35">
      <c r="A41" s="6" t="s">
        <v>674</v>
      </c>
      <c r="B41" s="6" t="s">
        <v>162</v>
      </c>
      <c r="C41" s="8" t="str">
        <f>HYPERLINK("https://tools.wmflabs.org/geohack/geohack.php?params=40.1885_N_29.0046_E_type:city","40.1885°N 29.0046°E")</f>
        <v>40.1885°N 29.0046°E</v>
      </c>
      <c r="D41" s="8" t="s">
        <v>1190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75" customHeight="1" x14ac:dyDescent="0.35">
      <c r="A42" s="6" t="s">
        <v>675</v>
      </c>
      <c r="B42" s="6" t="s">
        <v>165</v>
      </c>
      <c r="C42" s="8" t="str">
        <f>HYPERLINK("https://tools.wmflabs.org/geohack/geohack.php?params=40.1900_N_29.0618_E_type:city","40.1900°N 29.0618°E")</f>
        <v>40.1900°N 29.0618°E</v>
      </c>
      <c r="D42" s="8" t="s">
        <v>1191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.75" customHeight="1" x14ac:dyDescent="0.35">
      <c r="A43" s="6" t="s">
        <v>676</v>
      </c>
      <c r="B43" s="6" t="s">
        <v>169</v>
      </c>
      <c r="C43" s="8" t="str">
        <f>HYPERLINK("https://tools.wmflabs.org/geohack/geohack.php?params=40.1327_N_28.9645_E_type:city","40.1327°N 28.9645°E")</f>
        <v>40.1327°N 28.9645°E</v>
      </c>
      <c r="D43" s="8" t="s">
        <v>1192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5.75" customHeight="1" x14ac:dyDescent="0.35">
      <c r="A44" s="6" t="s">
        <v>677</v>
      </c>
      <c r="B44" s="6" t="s">
        <v>173</v>
      </c>
      <c r="C44" s="8" t="str">
        <f>HYPERLINK("https://tools.wmflabs.org/geohack/geohack.php?params=40.2420_N_29.0785_E_type:city","40.2420°N 29.0785°E")</f>
        <v>40.2420°N 29.0785°E</v>
      </c>
      <c r="D44" s="8" t="s">
        <v>1195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5.75" customHeight="1" x14ac:dyDescent="0.35">
      <c r="A45" s="6" t="s">
        <v>678</v>
      </c>
      <c r="B45" s="6" t="s">
        <v>177</v>
      </c>
      <c r="C45" s="8" t="str">
        <f>HYPERLINK("https://tools.wmflabs.org/geohack/geohack.php?params=40.3390_N_29.0840_E_type:city","40.3390°N 29.0840°E")</f>
        <v>40.3390°N 29.0840°E</v>
      </c>
      <c r="D45" s="8" t="s">
        <v>1195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5.75" customHeight="1" x14ac:dyDescent="0.35">
      <c r="A46" s="6" t="s">
        <v>679</v>
      </c>
      <c r="B46" s="6" t="s">
        <v>181</v>
      </c>
      <c r="C46" s="8" t="str">
        <f>HYPERLINK("https://tools.wmflabs.org/geohack/geohack.php?params=40.1856_N_29.0718_E_type:city","40.1856°N 29.0718°E")</f>
        <v>40.1856°N 29.0718°E</v>
      </c>
      <c r="D46" s="8" t="s">
        <v>1195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5.75" customHeight="1" x14ac:dyDescent="0.35">
      <c r="A47" s="6" t="s">
        <v>680</v>
      </c>
      <c r="B47" s="6" t="s">
        <v>184</v>
      </c>
      <c r="C47" s="8" t="str">
        <f>HYPERLINK("https://tools.wmflabs.org/geohack/geohack.php?params=40.1457_N_29.0599_E_type:city","40.1457°N 29.0599°E")</f>
        <v>40.1457°N 29.0599°E</v>
      </c>
      <c r="D47" s="8" t="s">
        <v>1191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5.75" customHeight="1" x14ac:dyDescent="0.35">
      <c r="A48" s="6" t="s">
        <v>681</v>
      </c>
      <c r="B48" s="6" t="s">
        <v>188</v>
      </c>
      <c r="C48" s="8" t="str">
        <f>HYPERLINK("https://tools.wmflabs.org/geohack/geohack.php?params=40.1902_N_29.0756_E_type:city","40.1902°N 29.0756°E")</f>
        <v>40.1902°N 29.0756°E</v>
      </c>
      <c r="D48" s="8" t="s">
        <v>1195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5.75" customHeight="1" x14ac:dyDescent="0.35">
      <c r="A49" s="6" t="s">
        <v>682</v>
      </c>
      <c r="B49" s="6" t="s">
        <v>192</v>
      </c>
      <c r="C49" s="8" t="str">
        <f>HYPERLINK("https://tools.wmflabs.org/geohack/geohack.php?params=40.2553_N_28.9648_E_type:city","40.2553°N 28.9648°E")</f>
        <v>40.2553°N 28.9648°E</v>
      </c>
      <c r="D49" s="8" t="s">
        <v>1192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.75" customHeight="1" x14ac:dyDescent="0.35">
      <c r="A50" s="6" t="s">
        <v>683</v>
      </c>
      <c r="B50" s="6" t="s">
        <v>195</v>
      </c>
      <c r="C50" s="8" t="str">
        <f>HYPERLINK("https://tools.wmflabs.org/geohack/geohack.php?params=40.2580_N_28.9565_E_type:city","40.2580°N 28.9565°E")</f>
        <v>40.2580°N 28.9565°E</v>
      </c>
      <c r="D50" s="8" t="s">
        <v>1192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.75" customHeight="1" x14ac:dyDescent="0.35">
      <c r="A51" s="6" t="s">
        <v>684</v>
      </c>
      <c r="B51" s="6" t="s">
        <v>199</v>
      </c>
      <c r="C51" s="8" t="str">
        <f>HYPERLINK("https://tools.wmflabs.org/geohack/geohack.php?params=40.2545_N_28.9562_E_type:city","40.2545°N 28.9562°E")</f>
        <v>40.2545°N 28.9562°E</v>
      </c>
      <c r="D51" s="8" t="s">
        <v>1192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5.75" customHeight="1" x14ac:dyDescent="0.35">
      <c r="A52" s="6" t="s">
        <v>685</v>
      </c>
      <c r="B52" s="6" t="s">
        <v>134</v>
      </c>
      <c r="C52" s="8" t="str">
        <f>HYPERLINK("https://tools.wmflabs.org/geohack/geohack.php?params=40.2138_N_29.0572_E_type:city","40.2138°N 29.0572°E")</f>
        <v>40.2138°N 29.0572°E</v>
      </c>
      <c r="D52" s="8" t="s">
        <v>1191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5.75" customHeight="1" x14ac:dyDescent="0.35">
      <c r="A53" s="6" t="s">
        <v>686</v>
      </c>
      <c r="B53" s="6" t="s">
        <v>206</v>
      </c>
      <c r="C53" s="8" t="str">
        <f>HYPERLINK("https://tools.wmflabs.org/geohack/geohack.php?params=40.2008_N_29.0440_E_type:city","40.2008°N 29.0440°E")</f>
        <v>40.2008°N 29.0440°E</v>
      </c>
      <c r="D53" s="8" t="s">
        <v>1193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5.75" customHeight="1" x14ac:dyDescent="0.35">
      <c r="A54" s="6" t="s">
        <v>687</v>
      </c>
      <c r="B54" s="6" t="s">
        <v>209</v>
      </c>
      <c r="C54" s="8" t="str">
        <f>HYPERLINK("https://tools.wmflabs.org/geohack/geohack.php?params=40.2706_N_28.9641_E_type:city","40.2706°N 28.9641°E")</f>
        <v>40.2706°N 28.9641°E</v>
      </c>
      <c r="D54" s="8" t="s">
        <v>1192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75" customHeight="1" x14ac:dyDescent="0.35">
      <c r="A55" s="6" t="s">
        <v>688</v>
      </c>
      <c r="B55" s="6" t="s">
        <v>213</v>
      </c>
      <c r="C55" s="8" t="str">
        <f>HYPERLINK("https://tools.wmflabs.org/geohack/geohack.php?params=40.1521_N_28.9892_E_type:city","40.1521°N 28.9892°E")</f>
        <v>40.1521°N 28.9892°E</v>
      </c>
      <c r="D55" s="8" t="s">
        <v>1192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.75" customHeight="1" x14ac:dyDescent="0.35">
      <c r="A56" s="6" t="s">
        <v>689</v>
      </c>
      <c r="B56" s="6" t="s">
        <v>151</v>
      </c>
      <c r="C56" s="8" t="str">
        <f>HYPERLINK("https://tools.wmflabs.org/geohack/geohack.php?params=40.2007_N_29.0749_E_type:city","40.2007°N 29.0749°E")</f>
        <v>40.2007°N 29.0749°E</v>
      </c>
      <c r="D56" s="8" t="s">
        <v>1195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75" customHeight="1" x14ac:dyDescent="0.35">
      <c r="A57" s="6" t="s">
        <v>690</v>
      </c>
      <c r="B57" s="6" t="s">
        <v>219</v>
      </c>
      <c r="C57" s="8" t="str">
        <f>HYPERLINK("https://tools.wmflabs.org/geohack/geohack.php?params=40.3329_N_29.0309_E_type:city","40.3329°N 29.0309°E")</f>
        <v>40.3329°N 29.0309°E</v>
      </c>
      <c r="D57" s="8" t="s">
        <v>1193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.75" customHeight="1" x14ac:dyDescent="0.35">
      <c r="A58" s="6" t="s">
        <v>691</v>
      </c>
      <c r="B58" s="6" t="s">
        <v>223</v>
      </c>
      <c r="C58" s="8" t="str">
        <f>HYPERLINK("https://tools.wmflabs.org/geohack/geohack.php?params=40.2370_N_28.9920_E_type:city","40.2370°N 28.9920°E")</f>
        <v>40.2370°N 28.9920°E</v>
      </c>
      <c r="D58" s="8" t="s">
        <v>1192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.75" customHeight="1" x14ac:dyDescent="0.35">
      <c r="A59" s="6" t="s">
        <v>692</v>
      </c>
      <c r="B59" s="6" t="s">
        <v>228</v>
      </c>
      <c r="C59" s="8" t="str">
        <f>HYPERLINK("https://tools.wmflabs.org/geohack/geohack.php?params=40.0669_N_29.0393_E_type:city","40.0669°N 29.0393°E")</f>
        <v>40.0669°N 29.0393°E</v>
      </c>
      <c r="D59" s="8" t="s">
        <v>1193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.75" customHeight="1" x14ac:dyDescent="0.35">
      <c r="A60" s="6" t="s">
        <v>693</v>
      </c>
      <c r="B60" s="6" t="s">
        <v>233</v>
      </c>
      <c r="C60" s="8" t="str">
        <f>HYPERLINK("https://tools.wmflabs.org/geohack/geohack.php?params=40.0113_N_29.1615_E_type:city","40.0113°N 29.1615°E")</f>
        <v>40.0113°N 29.1615°E</v>
      </c>
      <c r="D60" s="8" t="s">
        <v>1195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.75" customHeight="1" x14ac:dyDescent="0.35">
      <c r="A61" s="6" t="s">
        <v>694</v>
      </c>
      <c r="B61" s="6" t="s">
        <v>237</v>
      </c>
      <c r="C61" s="8" t="str">
        <f>HYPERLINK("https://tools.wmflabs.org/geohack/geohack.php?params=40.1926_N_29.0704_E_type:city","40.1926°N 29.0704°E")</f>
        <v>40.1926°N 29.0704°E</v>
      </c>
      <c r="D61" s="8" t="s">
        <v>1194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.75" customHeight="1" x14ac:dyDescent="0.35">
      <c r="A62" s="6" t="s">
        <v>695</v>
      </c>
      <c r="B62" s="6" t="s">
        <v>240</v>
      </c>
      <c r="C62" s="8" t="str">
        <f>HYPERLINK("https://tools.wmflabs.org/geohack/geohack.php?params=40.2454_N_28.9884_E_type:city","40.2454°N 28.9884°E")</f>
        <v>40.2454°N 28.9884°E</v>
      </c>
      <c r="D62" s="8" t="s">
        <v>1192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.75" customHeight="1" x14ac:dyDescent="0.35">
      <c r="A63" s="6" t="s">
        <v>696</v>
      </c>
      <c r="B63" s="6" t="s">
        <v>182</v>
      </c>
      <c r="C63" s="8" t="str">
        <f>HYPERLINK("https://tools.wmflabs.org/geohack/geohack.php?params=40.1904_N_29.0431_E_type:city","40.1904°N 29.0431°E")</f>
        <v>40.1904°N 29.0431°E</v>
      </c>
      <c r="D63" s="8" t="s">
        <v>1193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.75" customHeight="1" x14ac:dyDescent="0.35">
      <c r="A64" s="6" t="s">
        <v>697</v>
      </c>
      <c r="B64" s="6" t="s">
        <v>247</v>
      </c>
      <c r="C64" s="8" t="str">
        <f>HYPERLINK("https://tools.wmflabs.org/geohack/geohack.php?params=40.1810_N_29.0673_E_type:city","40.1810°N 29.0673°E")</f>
        <v>40.1810°N 29.0673°E</v>
      </c>
      <c r="D64" s="8" t="s">
        <v>1194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.75" customHeight="1" x14ac:dyDescent="0.35">
      <c r="A65" s="6" t="s">
        <v>698</v>
      </c>
      <c r="B65" s="6" t="s">
        <v>251</v>
      </c>
      <c r="C65" s="8" t="str">
        <f>HYPERLINK("https://tools.wmflabs.org/geohack/geohack.php?params=40.1917_N_29.0563_E_type:city","40.1917°N 29.0563°E")</f>
        <v>40.1917°N 29.0563°E</v>
      </c>
      <c r="D65" s="8" t="s">
        <v>1191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5.75" customHeight="1" x14ac:dyDescent="0.35">
      <c r="A66" s="6" t="s">
        <v>699</v>
      </c>
      <c r="B66" s="6" t="s">
        <v>255</v>
      </c>
      <c r="C66" s="8" t="str">
        <f>HYPERLINK("https://tools.wmflabs.org/geohack/geohack.php?params=40.2037_N_29.0090_E_type:city","40.2037°N 29.0090°E")</f>
        <v>40.2037°N 29.0090°E</v>
      </c>
      <c r="D66" s="8" t="s">
        <v>1190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.75" customHeight="1" x14ac:dyDescent="0.35">
      <c r="A67" s="6" t="s">
        <v>700</v>
      </c>
      <c r="B67" s="6" t="s">
        <v>258</v>
      </c>
      <c r="C67" s="8" t="str">
        <f>HYPERLINK("https://tools.wmflabs.org/geohack/geohack.php?params=40.2190_N_29.0039_E_type:city","40.2190°N 29.0039°E")</f>
        <v>40.2190°N 29.0039°E</v>
      </c>
      <c r="D67" s="8" t="s">
        <v>1190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.75" customHeight="1" x14ac:dyDescent="0.35">
      <c r="A68" s="6" t="s">
        <v>701</v>
      </c>
      <c r="B68" s="6" t="s">
        <v>262</v>
      </c>
      <c r="C68" s="8" t="str">
        <f>HYPERLINK("https://tools.wmflabs.org/geohack/geohack.php?params=40.1178_N_29.0216_E_type:city","40.1178°N 29.0216°E")</f>
        <v>40.1178°N 29.0216°E</v>
      </c>
      <c r="D68" s="8" t="s">
        <v>1190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.75" customHeight="1" x14ac:dyDescent="0.35">
      <c r="A69" s="6" t="s">
        <v>702</v>
      </c>
      <c r="B69" s="6" t="s">
        <v>266</v>
      </c>
      <c r="C69" s="8" t="str">
        <f>HYPERLINK("https://tools.wmflabs.org/geohack/geohack.php?params=40.1880_N_29.0555_E_type:city","40.1880°N 29.0555°E")</f>
        <v>40.1880°N 29.0555°E</v>
      </c>
      <c r="D69" s="8" t="s">
        <v>1191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.75" customHeight="1" x14ac:dyDescent="0.35">
      <c r="A70" s="6" t="s">
        <v>703</v>
      </c>
      <c r="B70" s="6" t="s">
        <v>269</v>
      </c>
      <c r="C70" s="8" t="str">
        <f>HYPERLINK("https://tools.wmflabs.org/geohack/geohack.php?params=40.1776_N_29.0124_E_type:city","40.1776°N 29.0124°E")</f>
        <v>40.1776°N 29.0124°E</v>
      </c>
      <c r="D70" s="8" t="s">
        <v>1190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.75" customHeight="1" x14ac:dyDescent="0.35">
      <c r="A71" s="6" t="s">
        <v>704</v>
      </c>
      <c r="B71" s="6" t="s">
        <v>271</v>
      </c>
      <c r="C71" s="8" t="str">
        <f>HYPERLINK("https://tools.wmflabs.org/geohack/geohack.php?params=40.1903_N_29.0542_E_type:city","40.1903°N 29.0542°E")</f>
        <v>40.1903°N 29.0542°E</v>
      </c>
      <c r="D71" s="8" t="s">
        <v>1193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.75" customHeight="1" x14ac:dyDescent="0.35">
      <c r="A72" s="6" t="s">
        <v>705</v>
      </c>
      <c r="B72" s="6" t="s">
        <v>274</v>
      </c>
      <c r="C72" s="8" t="str">
        <f>HYPERLINK("https://tools.wmflabs.org/geohack/geohack.php?params=40.2920_N_29.0710_E_type:city","40.2920°N 29.0710°E")</f>
        <v>40.2920°N 29.0710°E</v>
      </c>
      <c r="D72" s="8" t="s">
        <v>1195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.75" customHeight="1" x14ac:dyDescent="0.35">
      <c r="A73" s="6" t="s">
        <v>706</v>
      </c>
      <c r="B73" s="6" t="s">
        <v>277</v>
      </c>
      <c r="C73" s="8" t="str">
        <f>HYPERLINK("https://tools.wmflabs.org/geohack/geohack.php?params=40.2231_N_29.0095_E_type:city","40.2231°N 29.0095°E")</f>
        <v>40.2231°N 29.0095°E</v>
      </c>
      <c r="D73" s="8" t="s">
        <v>1190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.75" customHeight="1" x14ac:dyDescent="0.35">
      <c r="A74" s="6" t="s">
        <v>707</v>
      </c>
      <c r="B74" s="6" t="s">
        <v>280</v>
      </c>
      <c r="C74" s="8" t="str">
        <f>HYPERLINK("https://tools.wmflabs.org/geohack/geohack.php?params=40.1776_N_29.0546_E_type:city","40.1776°N 29.0546°E")</f>
        <v>40.1776°N 29.0546°E</v>
      </c>
      <c r="D74" s="8" t="s">
        <v>1191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.75" customHeight="1" x14ac:dyDescent="0.35">
      <c r="A75" s="6" t="s">
        <v>708</v>
      </c>
      <c r="B75" s="6" t="s">
        <v>283</v>
      </c>
      <c r="C75" s="8" t="str">
        <f>HYPERLINK("https://tools.wmflabs.org/geohack/geohack.php?params=40.3078_N_29.0926_E_type:city","40.3078°N 29.0926°E")</f>
        <v>40.3078°N 29.0926°E</v>
      </c>
      <c r="D75" s="8" t="s">
        <v>1195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.75" customHeight="1" x14ac:dyDescent="0.35">
      <c r="A76" s="6" t="s">
        <v>709</v>
      </c>
      <c r="B76" s="6" t="s">
        <v>285</v>
      </c>
      <c r="C76" s="8" t="str">
        <f>HYPERLINK("https://tools.wmflabs.org/geohack/geohack.php?params=40.0208_N_29.1246_E_type:city","40.0208°N 29.1246°E")</f>
        <v>40.0208°N 29.1246°E</v>
      </c>
      <c r="D76" s="8" t="s">
        <v>1195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.75" customHeight="1" x14ac:dyDescent="0.35">
      <c r="A77" s="6" t="s">
        <v>710</v>
      </c>
      <c r="B77" s="6" t="s">
        <v>288</v>
      </c>
      <c r="C77" s="8" t="str">
        <f>HYPERLINK("https://tools.wmflabs.org/geohack/geohack.php?params=40.1835_N_29.0577_E_type:city","40.1835°N 29.0577°E")</f>
        <v>40.1835°N 29.0577°E</v>
      </c>
      <c r="D77" s="8" t="s">
        <v>1191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.75" customHeight="1" x14ac:dyDescent="0.35">
      <c r="A78" s="6" t="s">
        <v>711</v>
      </c>
      <c r="B78" s="6" t="s">
        <v>290</v>
      </c>
      <c r="C78" s="8" t="str">
        <f>HYPERLINK("https://tools.wmflabs.org/geohack/geohack.php?params=40.1817_N_29.0690_E_type:city","40.1817°N 29.0690°E")</f>
        <v>40.1817°N 29.0690°E</v>
      </c>
      <c r="D78" s="8" t="s">
        <v>1194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.75" customHeight="1" x14ac:dyDescent="0.35">
      <c r="A79" s="6" t="s">
        <v>712</v>
      </c>
      <c r="B79" s="6" t="s">
        <v>292</v>
      </c>
      <c r="C79" s="8" t="str">
        <f>HYPERLINK("https://tools.wmflabs.org/geohack/geohack.php?params=40.2060_N_29.0634_E_type:city","40.2060°N 29.0634°E")</f>
        <v>40.2060°N 29.0634°E</v>
      </c>
      <c r="D79" s="8" t="s">
        <v>1194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.75" customHeight="1" x14ac:dyDescent="0.35">
      <c r="A80" s="6" t="s">
        <v>713</v>
      </c>
      <c r="B80" s="6" t="s">
        <v>293</v>
      </c>
      <c r="C80" s="8" t="str">
        <f>HYPERLINK("https://tools.wmflabs.org/geohack/geohack.php?params=40.1288_N_29.0401_E_type:city","40.1288°N 29.0401°E")</f>
        <v>40.1288°N 29.0401°E</v>
      </c>
      <c r="D80" s="8" t="s">
        <v>1193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.75" customHeight="1" x14ac:dyDescent="0.35">
      <c r="A81" s="6" t="s">
        <v>714</v>
      </c>
      <c r="B81" s="6" t="s">
        <v>295</v>
      </c>
      <c r="C81" s="8" t="str">
        <f>HYPERLINK("https://tools.wmflabs.org/geohack/geohack.php?params=40.1914_N_29.0649_E_type:city","40.1914°N 29.0649°E")</f>
        <v>40.1914°N 29.0649°E</v>
      </c>
      <c r="D81" s="8" t="s">
        <v>1194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.75" customHeight="1" x14ac:dyDescent="0.35">
      <c r="A82" s="6" t="s">
        <v>715</v>
      </c>
      <c r="B82" s="6" t="s">
        <v>297</v>
      </c>
      <c r="C82" s="8" t="str">
        <f>HYPERLINK("https://tools.wmflabs.org/geohack/geohack.php?params=40.1930_N_29.0611_E_type:city","40.1930°N 29.0611°E")</f>
        <v>40.1930°N 29.0611°E</v>
      </c>
      <c r="D82" s="8" t="s">
        <v>1191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.75" customHeight="1" x14ac:dyDescent="0.35">
      <c r="A83" s="6" t="s">
        <v>716</v>
      </c>
      <c r="B83" s="6" t="s">
        <v>299</v>
      </c>
      <c r="C83" s="8" t="str">
        <f>HYPERLINK("https://tools.wmflabs.org/geohack/geohack.php?params=40.1872_N_29.0457_E_type:city","40.1872°N 29.0457°E")</f>
        <v>40.1872°N 29.0457°E</v>
      </c>
      <c r="D83" s="8" t="s">
        <v>1193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.75" customHeight="1" x14ac:dyDescent="0.35">
      <c r="A84" s="6" t="s">
        <v>717</v>
      </c>
      <c r="B84" s="6" t="s">
        <v>301</v>
      </c>
      <c r="C84" s="8" t="str">
        <f>HYPERLINK("https://tools.wmflabs.org/geohack/geohack.php?params=40.2025_N_29.0686_E_type:city","40.2025°N 29.0686°E")</f>
        <v>40.2025°N 29.0686°E</v>
      </c>
      <c r="D84" s="8" t="s">
        <v>1194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.75" customHeight="1" x14ac:dyDescent="0.35">
      <c r="A85" s="6" t="s">
        <v>718</v>
      </c>
      <c r="B85" s="6" t="s">
        <v>303</v>
      </c>
      <c r="C85" s="8" t="str">
        <f>HYPERLINK("https://tools.wmflabs.org/geohack/geohack.php?params=40.2207_N_29.0779_E_type:city","40.2207°N 29.0779°E")</f>
        <v>40.2207°N 29.0779°E</v>
      </c>
      <c r="D85" s="8" t="s">
        <v>1195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.75" customHeight="1" x14ac:dyDescent="0.35">
      <c r="A86" s="6" t="s">
        <v>719</v>
      </c>
      <c r="B86" s="6" t="s">
        <v>305</v>
      </c>
      <c r="C86" s="8" t="str">
        <f>HYPERLINK("https://tools.wmflabs.org/geohack/geohack.php?params=40.0339_N_29.1921_E_type:city","40.0339°N 29.1921°E")</f>
        <v>40.0339°N 29.1921°E</v>
      </c>
      <c r="D86" s="8" t="s">
        <v>1195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.75" customHeight="1" x14ac:dyDescent="0.35">
      <c r="A87" s="6" t="s">
        <v>720</v>
      </c>
      <c r="B87" s="6" t="s">
        <v>308</v>
      </c>
      <c r="C87" s="8" t="str">
        <f>HYPERLINK("https://tools.wmflabs.org/geohack/geohack.php?params=40.2014_N_29.0333_E_type:city","40.2014°N 29.0333°E")</f>
        <v>40.2014°N 29.0333°E</v>
      </c>
      <c r="D87" s="8" t="s">
        <v>1193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5.75" customHeight="1" x14ac:dyDescent="0.35">
      <c r="A88" s="6" t="s">
        <v>721</v>
      </c>
      <c r="B88" s="6" t="s">
        <v>310</v>
      </c>
      <c r="C88" s="8" t="str">
        <f>HYPERLINK("https://tools.wmflabs.org/geohack/geohack.php?params=40.2042_N_29.0585_E_type:city","40.2042°N 29.0585°E")</f>
        <v>40.2042°N 29.0585°E</v>
      </c>
      <c r="D88" s="8" t="s">
        <v>1191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5.75" customHeight="1" x14ac:dyDescent="0.35">
      <c r="A89" s="6" t="s">
        <v>722</v>
      </c>
      <c r="B89" s="6" t="s">
        <v>236</v>
      </c>
      <c r="C89" s="8" t="str">
        <f>HYPERLINK("https://tools.wmflabs.org/geohack/geohack.php?params=40.1883_N_29.0553_E_type:city","40.1883°N 29.0553°E")</f>
        <v>40.1883°N 29.0553°E</v>
      </c>
      <c r="D89" s="8" t="s">
        <v>1191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.75" customHeight="1" x14ac:dyDescent="0.35">
      <c r="A90" s="6" t="s">
        <v>723</v>
      </c>
      <c r="B90" s="6" t="s">
        <v>314</v>
      </c>
      <c r="C90" s="8" t="str">
        <f>HYPERLINK("https://tools.wmflabs.org/geohack/geohack.php?params=40.1774_N_29.0618_E_type:city","40.1774°N 29.0618°E")</f>
        <v>40.1774°N 29.0618°E</v>
      </c>
      <c r="D90" s="8" t="s">
        <v>1191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.75" customHeight="1" x14ac:dyDescent="0.35">
      <c r="A91" s="6" t="s">
        <v>724</v>
      </c>
      <c r="B91" s="6" t="s">
        <v>316</v>
      </c>
      <c r="C91" s="8" t="str">
        <f>HYPERLINK("https://tools.wmflabs.org/geohack/geohack.php?params=40.2241_N_29.0226_E_type:city","40.2241°N 29.0226°E")</f>
        <v>40.2241°N 29.0226°E</v>
      </c>
      <c r="D91" s="8" t="s">
        <v>1190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.75" customHeight="1" x14ac:dyDescent="0.35">
      <c r="A92" s="6" t="s">
        <v>725</v>
      </c>
      <c r="B92" s="6" t="s">
        <v>318</v>
      </c>
      <c r="C92" s="8" t="str">
        <f>HYPERLINK("https://tools.wmflabs.org/geohack/geohack.php?params=40.1741_N_29.0584_E_type:city","40.1741°N 29.0584°E")</f>
        <v>40.1741°N 29.0584°E</v>
      </c>
      <c r="D92" s="8" t="s">
        <v>1191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.75" customHeight="1" x14ac:dyDescent="0.35">
      <c r="A93" s="6" t="s">
        <v>726</v>
      </c>
      <c r="B93" s="6" t="s">
        <v>320</v>
      </c>
      <c r="C93" s="8" t="str">
        <f>HYPERLINK("https://tools.wmflabs.org/geohack/geohack.php?params=40.1840_N_29.0546_E_type:city","40.1840°N 29.0546°E")</f>
        <v>40.1840°N 29.0546°E</v>
      </c>
      <c r="D93" s="8" t="s">
        <v>1191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.75" customHeight="1" x14ac:dyDescent="0.35">
      <c r="A94" s="6" t="s">
        <v>727</v>
      </c>
      <c r="B94" s="6" t="s">
        <v>322</v>
      </c>
      <c r="C94" s="8" t="str">
        <f>HYPERLINK("https://tools.wmflabs.org/geohack/geohack.php?params=40.1929_N_29.0430_E_type:city","40.1929°N 29.0430°E")</f>
        <v>40.1929°N 29.0430°E</v>
      </c>
      <c r="D94" s="8" t="s">
        <v>1193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.75" customHeight="1" x14ac:dyDescent="0.35">
      <c r="A95" s="6" t="s">
        <v>728</v>
      </c>
      <c r="B95" s="6" t="s">
        <v>324</v>
      </c>
      <c r="C95" s="8" t="str">
        <f>HYPERLINK("https://tools.wmflabs.org/geohack/geohack.php?params=40.0949_N_29.0271_E_type:city","40.0949°N 29.0271°E")</f>
        <v>40.0949°N 29.0271°E</v>
      </c>
      <c r="D95" s="8" t="s">
        <v>1190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.75" customHeight="1" x14ac:dyDescent="0.35">
      <c r="A96" s="6" t="s">
        <v>729</v>
      </c>
      <c r="B96" s="6" t="s">
        <v>326</v>
      </c>
      <c r="C96" s="8" t="str">
        <f>HYPERLINK("https://tools.wmflabs.org/geohack/geohack.php?params=40.1870_N_29.0610_E_type:city","40.1870°N 29.0610°E")</f>
        <v>40.1870°N 29.0610°E</v>
      </c>
      <c r="D96" s="8" t="s">
        <v>1191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.75" customHeight="1" x14ac:dyDescent="0.35">
      <c r="A97" s="6" t="s">
        <v>730</v>
      </c>
      <c r="B97" s="6" t="s">
        <v>329</v>
      </c>
      <c r="C97" s="8" t="str">
        <f>HYPERLINK("https://tools.wmflabs.org/geohack/geohack.php?params=40.1930_N_29.0730_E_type:city","40.1930°N 29.0730°E")</f>
        <v>40.1930°N 29.0730°E</v>
      </c>
      <c r="D97" s="8" t="s">
        <v>1195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.75" customHeight="1" x14ac:dyDescent="0.35">
      <c r="A98" s="6" t="s">
        <v>731</v>
      </c>
      <c r="B98" s="6" t="s">
        <v>331</v>
      </c>
      <c r="C98" s="8" t="str">
        <f>HYPERLINK("https://tools.wmflabs.org/geohack/geohack.php?params=40.2877_N_28.9503_E_type:city","40.2877°N 28.9503°E")</f>
        <v>40.2877°N 28.9503°E</v>
      </c>
      <c r="D98" s="8" t="s">
        <v>1192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.75" customHeight="1" x14ac:dyDescent="0.35">
      <c r="A99" s="6" t="s">
        <v>732</v>
      </c>
      <c r="B99" s="6" t="s">
        <v>333</v>
      </c>
      <c r="C99" s="8" t="str">
        <f>HYPERLINK("https://tools.wmflabs.org/geohack/geohack.php?params=40.1845_N_29.0615_E_type:city","40.1845°N 29.0615°E")</f>
        <v>40.1845°N 29.0615°E</v>
      </c>
      <c r="D99" s="8" t="s">
        <v>1191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.75" customHeight="1" x14ac:dyDescent="0.35">
      <c r="A100" s="6" t="s">
        <v>733</v>
      </c>
      <c r="B100" s="6" t="s">
        <v>335</v>
      </c>
      <c r="C100" s="8" t="str">
        <f>HYPERLINK("https://tools.wmflabs.org/geohack/geohack.php?params=40.1868_N_29.0534_E_type:city","40.1868°N 29.0534°E")</f>
        <v>40.1868°N 29.0534°E</v>
      </c>
      <c r="D100" s="8" t="s">
        <v>1193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.75" customHeight="1" x14ac:dyDescent="0.35">
      <c r="A101" s="6" t="s">
        <v>734</v>
      </c>
      <c r="B101" s="6" t="s">
        <v>336</v>
      </c>
      <c r="C101" s="8" t="str">
        <f>HYPERLINK("https://tools.wmflabs.org/geohack/geohack.php?params=40.3130_N_29.0540_E_type:city","40.3130°N 29.0540°E")</f>
        <v>40.3130°N 29.0540°E</v>
      </c>
      <c r="D101" s="8" t="s">
        <v>1193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.75" customHeight="1" x14ac:dyDescent="0.35">
      <c r="A102" s="6" t="s">
        <v>735</v>
      </c>
      <c r="B102" s="6" t="s">
        <v>338</v>
      </c>
      <c r="C102" s="8" t="str">
        <f>HYPERLINK("https://tools.wmflabs.org/geohack/geohack.php?params=40.3087_N_29.0686_E_type:city","40.3087°N 29.0686°E")</f>
        <v>40.3087°N 29.0686°E</v>
      </c>
      <c r="D102" s="8" t="s">
        <v>1194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.75" customHeight="1" x14ac:dyDescent="0.35">
      <c r="A103" s="6" t="s">
        <v>736</v>
      </c>
      <c r="B103" s="6" t="s">
        <v>341</v>
      </c>
      <c r="C103" s="8" t="str">
        <f>HYPERLINK("https://tools.wmflabs.org/geohack/geohack.php?params=40.3020_N_29.0620_E_type:city","40.3020°N 29.0620°E")</f>
        <v>40.3020°N 29.0620°E</v>
      </c>
      <c r="D103" s="8" t="s">
        <v>1194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.75" customHeight="1" x14ac:dyDescent="0.35">
      <c r="A104" s="6" t="s">
        <v>737</v>
      </c>
      <c r="B104" s="6" t="s">
        <v>343</v>
      </c>
      <c r="C104" s="8" t="str">
        <f>HYPERLINK("https://tools.wmflabs.org/geohack/geohack.php?params=40.2946_N_29.0673_E_type:city","40.2946°N 29.0673°E")</f>
        <v>40.2946°N 29.0673°E</v>
      </c>
      <c r="D104" s="8" t="s">
        <v>1194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.75" customHeight="1" x14ac:dyDescent="0.35">
      <c r="A105" s="6" t="s">
        <v>738</v>
      </c>
      <c r="B105" s="6" t="s">
        <v>345</v>
      </c>
      <c r="C105" s="8" t="str">
        <f>HYPERLINK("https://tools.wmflabs.org/geohack/geohack.php?params=40.2406_N_29.0628_E_type:city","40.2406°N 29.0628°E")</f>
        <v>40.2406°N 29.0628°E</v>
      </c>
      <c r="D105" s="8" t="s">
        <v>1194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5.75" customHeight="1" x14ac:dyDescent="0.35">
      <c r="A106" s="6" t="s">
        <v>739</v>
      </c>
      <c r="B106" s="6" t="s">
        <v>347</v>
      </c>
      <c r="C106" s="8" t="str">
        <f>HYPERLINK("https://tools.wmflabs.org/geohack/geohack.php?params=40.1809_N_29.0531_E_type:city","40.1809°N 29.0531°E")</f>
        <v>40.1809°N 29.0531°E</v>
      </c>
      <c r="D106" s="8" t="s">
        <v>1193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.75" customHeight="1" x14ac:dyDescent="0.35">
      <c r="A107" s="6" t="s">
        <v>740</v>
      </c>
      <c r="B107" s="6" t="s">
        <v>348</v>
      </c>
      <c r="C107" s="8" t="str">
        <f>HYPERLINK("https://tools.wmflabs.org/geohack/geohack.php?params=40.1865_N_29.0620_E_type:city","40.1865°N 29.0620°E")</f>
        <v>40.1865°N 29.0620°E</v>
      </c>
      <c r="D107" s="8" t="s">
        <v>1194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.75" customHeight="1" x14ac:dyDescent="0.35">
      <c r="A108" s="6" t="s">
        <v>741</v>
      </c>
      <c r="B108" s="6" t="s">
        <v>178</v>
      </c>
      <c r="C108" s="8" t="str">
        <f>HYPERLINK("https://tools.wmflabs.org/geohack/geohack.php?params=40.1943_N_29.0683_E_type:city","40.1943°N 29.0683°E")</f>
        <v>40.1943°N 29.0683°E</v>
      </c>
      <c r="D108" s="8" t="s">
        <v>1194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75" customHeight="1" x14ac:dyDescent="0.35">
      <c r="A109" s="6" t="s">
        <v>742</v>
      </c>
      <c r="B109" s="6" t="s">
        <v>349</v>
      </c>
      <c r="C109" s="8" t="str">
        <f>HYPERLINK("https://tools.wmflabs.org/geohack/geohack.php?params=40.2152_N_29.0581_E_type:city","40.2152°N 29.0581°E")</f>
        <v>40.2152°N 29.0581°E</v>
      </c>
      <c r="D109" s="8" t="s">
        <v>1191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.75" customHeight="1" x14ac:dyDescent="0.35">
      <c r="A110" s="6" t="s">
        <v>743</v>
      </c>
      <c r="B110" s="6" t="s">
        <v>350</v>
      </c>
      <c r="C110" s="8" t="str">
        <f>HYPERLINK("https://tools.wmflabs.org/geohack/geohack.php?params=40.3265_N_29.1979_E_type:city","40.3265°N 29.1979°E")</f>
        <v>40.3265°N 29.1979°E</v>
      </c>
      <c r="D110" s="8" t="s">
        <v>1195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.75" customHeight="1" x14ac:dyDescent="0.35">
      <c r="A111" s="6" t="s">
        <v>744</v>
      </c>
      <c r="B111" s="6" t="s">
        <v>351</v>
      </c>
      <c r="C111" s="8" t="str">
        <f>HYPERLINK("https://tools.wmflabs.org/geohack/geohack.php?params=40.0050_N_29.0829_E_type:city","40.0050°N 29.0829°E")</f>
        <v>40.0050°N 29.0829°E</v>
      </c>
      <c r="D111" s="8" t="s">
        <v>1195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.75" customHeight="1" x14ac:dyDescent="0.35">
      <c r="A112" s="6" t="s">
        <v>745</v>
      </c>
      <c r="B112" s="6" t="s">
        <v>352</v>
      </c>
      <c r="C112" s="8" t="str">
        <f>HYPERLINK("https://tools.wmflabs.org/geohack/geohack.php?params=40.1876_N_29.0569_E_type:city","40.1876°N 29.0569°E")</f>
        <v>40.1876°N 29.0569°E</v>
      </c>
      <c r="D112" s="8" t="s">
        <v>1191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.75" customHeight="1" x14ac:dyDescent="0.35">
      <c r="A113" s="6" t="s">
        <v>746</v>
      </c>
      <c r="B113" s="6" t="s">
        <v>353</v>
      </c>
      <c r="C113" s="8" t="str">
        <f>HYPERLINK("https://tools.wmflabs.org/geohack/geohack.php?params=40.1880_N_29.0630_E_type:city","40.1880°N 29.0630°E")</f>
        <v>40.1880°N 29.0630°E</v>
      </c>
      <c r="D113" s="8" t="s">
        <v>1194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.75" customHeight="1" x14ac:dyDescent="0.35">
      <c r="A114" s="6" t="s">
        <v>747</v>
      </c>
      <c r="B114" s="6" t="s">
        <v>354</v>
      </c>
      <c r="C114" s="8" t="str">
        <f>HYPERLINK("https://tools.wmflabs.org/geohack/geohack.php?params=40.1910_N_29.0710_E_type:city","40.1910°N 29.0710°E")</f>
        <v>40.1910°N 29.0710°E</v>
      </c>
      <c r="D114" s="8" t="s">
        <v>1194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75" customHeight="1" x14ac:dyDescent="0.35">
      <c r="A115" s="6" t="s">
        <v>748</v>
      </c>
      <c r="B115" s="6" t="s">
        <v>355</v>
      </c>
      <c r="C115" s="8" t="str">
        <f>HYPERLINK("https://tools.wmflabs.org/geohack/geohack.php?params=40.3283_N_29.1212_E_type:city","40.3283°N 29.1212°E")</f>
        <v>40.3283°N 29.1212°E</v>
      </c>
      <c r="D115" s="8" t="s">
        <v>1195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75" customHeight="1" x14ac:dyDescent="0.35">
      <c r="A116" s="6" t="s">
        <v>749</v>
      </c>
      <c r="B116" s="6" t="s">
        <v>356</v>
      </c>
      <c r="C116" s="8" t="str">
        <f>HYPERLINK("https://tools.wmflabs.org/geohack/geohack.php?params=40.1915_N_29.0536_E_type:city","40.1915°N 29.0536°E")</f>
        <v>40.1915°N 29.0536°E</v>
      </c>
      <c r="D116" s="8" t="s">
        <v>1193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75" customHeight="1" x14ac:dyDescent="0.35">
      <c r="A117" s="6" t="s">
        <v>750</v>
      </c>
      <c r="B117" s="6" t="s">
        <v>357</v>
      </c>
      <c r="C117" s="8" t="str">
        <f>HYPERLINK("https://tools.wmflabs.org/geohack/geohack.php?params=40.2050_N_29.0290_E_type:city","40.2050°N 29.0290°E")</f>
        <v>40.2050°N 29.0290°E</v>
      </c>
      <c r="D117" s="8" t="s">
        <v>1190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75" customHeight="1" x14ac:dyDescent="0.35">
      <c r="A118" s="6" t="s">
        <v>751</v>
      </c>
      <c r="B118" s="6" t="s">
        <v>358</v>
      </c>
      <c r="C118" s="8" t="str">
        <f>HYPERLINK("https://tools.wmflabs.org/geohack/geohack.php?params=40.2200_N_29.0600_E_type:city","40.2200°N 29.0600°E")</f>
        <v>40.2200°N 29.0600°E</v>
      </c>
      <c r="D118" s="8" t="s">
        <v>1191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75" customHeight="1" x14ac:dyDescent="0.35">
      <c r="A119" s="6" t="s">
        <v>752</v>
      </c>
      <c r="B119" s="6" t="s">
        <v>359</v>
      </c>
      <c r="C119" s="8" t="str">
        <f>HYPERLINK("https://tools.wmflabs.org/geohack/geohack.php?params=40.2260_N_29.0070_E_type:city","40.2260°N 29.0070°E")</f>
        <v>40.2260°N 29.0070°E</v>
      </c>
      <c r="D119" s="8" t="s">
        <v>1190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75" customHeight="1" x14ac:dyDescent="0.35">
      <c r="A120" s="6" t="s">
        <v>753</v>
      </c>
      <c r="B120" s="6" t="s">
        <v>360</v>
      </c>
      <c r="C120" s="8" t="str">
        <f>HYPERLINK("https://tools.wmflabs.org/geohack/geohack.php?params=40.2120_N_29.0100_E_type:city","40.2120°N 29.0100°E")</f>
        <v>40.2120°N 29.0100°E</v>
      </c>
      <c r="D120" s="8" t="s">
        <v>1190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75" customHeight="1" x14ac:dyDescent="0.35">
      <c r="A121" s="6" t="s">
        <v>754</v>
      </c>
      <c r="B121" s="6" t="s">
        <v>361</v>
      </c>
      <c r="C121" s="8" t="str">
        <f>HYPERLINK("https://tools.wmflabs.org/geohack/geohack.php?params=40.1820_N_29.0600_E_type:city","40.1820°N 29.0600°E")</f>
        <v>40.1820°N 29.0600°E</v>
      </c>
      <c r="D121" s="8" t="s">
        <v>1191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 x14ac:dyDescent="0.35">
      <c r="A122" s="6" t="s">
        <v>755</v>
      </c>
      <c r="B122" s="6" t="s">
        <v>362</v>
      </c>
      <c r="C122" s="8" t="str">
        <f>HYPERLINK("https://tools.wmflabs.org/geohack/geohack.php?params=40.1893_N_29.0675_E_type:city","40.1893°N 29.0675°E")</f>
        <v>40.1893°N 29.0675°E</v>
      </c>
      <c r="D122" s="8" t="s">
        <v>1194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75" customHeight="1" x14ac:dyDescent="0.35">
      <c r="A123" s="6" t="s">
        <v>756</v>
      </c>
      <c r="B123" s="6" t="s">
        <v>363</v>
      </c>
      <c r="C123" s="8" t="str">
        <f>HYPERLINK("https://tools.wmflabs.org/geohack/geohack.php?params=40.1990_N_29.0750_E_type:city","40.1990°N 29.0750°E")</f>
        <v>40.1990°N 29.0750°E</v>
      </c>
      <c r="D123" s="8" t="s">
        <v>1195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75" customHeight="1" x14ac:dyDescent="0.35">
      <c r="A124" s="6" t="s">
        <v>757</v>
      </c>
      <c r="B124" s="6" t="s">
        <v>364</v>
      </c>
      <c r="C124" s="8" t="str">
        <f>HYPERLINK("https://tools.wmflabs.org/geohack/geohack.php?params=40.1093_N_28.9893_E_type:city","40.1093°N 28.9893°E")</f>
        <v>40.1093°N 28.9893°E</v>
      </c>
      <c r="D124" s="8" t="s">
        <v>1192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75" customHeight="1" x14ac:dyDescent="0.35">
      <c r="A125" s="6" t="s">
        <v>758</v>
      </c>
      <c r="B125" s="6" t="s">
        <v>365</v>
      </c>
      <c r="C125" s="8" t="str">
        <f>HYPERLINK("https://tools.wmflabs.org/geohack/geohack.php?params=40.1840_N_29.0680_E_type:city","40.1840°N 29.0680°E")</f>
        <v>40.1840°N 29.0680°E</v>
      </c>
      <c r="D125" s="8" t="s">
        <v>1194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75" customHeight="1" x14ac:dyDescent="0.35">
      <c r="A126" s="6" t="s">
        <v>759</v>
      </c>
      <c r="B126" s="6" t="s">
        <v>366</v>
      </c>
      <c r="C126" s="8" t="str">
        <f>HYPERLINK("https://tools.wmflabs.org/geohack/geohack.php?params=40.1860_N_29.0670_E_type:city","40.1860°N 29.0670°E")</f>
        <v>40.1860°N 29.0670°E</v>
      </c>
      <c r="D126" s="8" t="s">
        <v>1194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75" customHeight="1" x14ac:dyDescent="0.35">
      <c r="A127" s="6" t="s">
        <v>760</v>
      </c>
      <c r="B127" s="6" t="s">
        <v>367</v>
      </c>
      <c r="C127" s="8" t="str">
        <f>HYPERLINK("https://tools.wmflabs.org/geohack/geohack.php?params=40.0562_N_29.0034_E_type:city","40.0562°N 29.0034°E")</f>
        <v>40.0562°N 29.0034°E</v>
      </c>
      <c r="D127" s="8" t="s">
        <v>1190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75" customHeight="1" x14ac:dyDescent="0.35">
      <c r="A128" s="6" t="s">
        <v>761</v>
      </c>
      <c r="B128" s="6" t="s">
        <v>368</v>
      </c>
      <c r="C128" s="8" t="str">
        <f>HYPERLINK("https://tools.wmflabs.org/geohack/geohack.php?params=40.2600_N_29.0200_E_type:city","40.2600°N 29.0200°E")</f>
        <v>40.2600°N 29.0200°E</v>
      </c>
      <c r="D128" s="8" t="s">
        <v>1190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75" customHeight="1" x14ac:dyDescent="0.35">
      <c r="A129" s="6" t="s">
        <v>762</v>
      </c>
      <c r="B129" s="6" t="s">
        <v>369</v>
      </c>
      <c r="C129" s="8" t="str">
        <f>HYPERLINK("https://tools.wmflabs.org/geohack/geohack.php?params=40.1900_N_29.0500_E_type:city","40.1900°N 29.0500°E")</f>
        <v>40.1900°N 29.0500°E</v>
      </c>
      <c r="D129" s="8" t="s">
        <v>1193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75" customHeight="1" x14ac:dyDescent="0.35">
      <c r="A130" s="6" t="s">
        <v>763</v>
      </c>
      <c r="B130" s="6" t="s">
        <v>370</v>
      </c>
      <c r="C130" s="8" t="str">
        <f>HYPERLINK("https://tools.wmflabs.org/geohack/geohack.php?params=40.2400_N_28.9940_E_type:city","40.2400°N 28.9940°E")</f>
        <v>40.2400°N 28.9940°E</v>
      </c>
      <c r="D130" s="8" t="s">
        <v>1192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75" customHeight="1" x14ac:dyDescent="0.35">
      <c r="A131" s="6" t="s">
        <v>764</v>
      </c>
      <c r="B131" s="6" t="s">
        <v>371</v>
      </c>
      <c r="C131" s="8" t="str">
        <f>HYPERLINK("https://tools.wmflabs.org/geohack/geohack.php?params=40.2920_N_29.0240_E_type:city","40.2920°N 29.0240°E")</f>
        <v>40.2920°N 29.0240°E</v>
      </c>
      <c r="D131" s="8" t="s">
        <v>1190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75" customHeight="1" x14ac:dyDescent="0.35">
      <c r="A132" s="6" t="s">
        <v>765</v>
      </c>
      <c r="B132" s="6" t="s">
        <v>372</v>
      </c>
      <c r="C132" s="8" t="str">
        <f>HYPERLINK("https://tools.wmflabs.org/geohack/geohack.php?params=40.2290_N_28.9980_E_type:city","40.2290°N 28.9980°E")</f>
        <v>40.2290°N 28.9980°E</v>
      </c>
      <c r="D132" s="8" t="s">
        <v>1190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75" customHeight="1" x14ac:dyDescent="0.35">
      <c r="A133" s="6" t="s">
        <v>766</v>
      </c>
      <c r="B133" s="6" t="s">
        <v>373</v>
      </c>
      <c r="C133" s="8" t="str">
        <f>HYPERLINK("https://tools.wmflabs.org/geohack/geohack.php?params=40.2600_N_29.0000_E_type:city","40.2600°N 29.0000°E")</f>
        <v>40.2600°N 29.0000°E</v>
      </c>
      <c r="D133" s="8" t="s">
        <v>1190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75" customHeight="1" x14ac:dyDescent="0.35">
      <c r="A134" s="6" t="s">
        <v>767</v>
      </c>
      <c r="B134" s="6" t="s">
        <v>374</v>
      </c>
      <c r="C134" s="8" t="str">
        <f>HYPERLINK("https://tools.wmflabs.org/geohack/geohack.php?params=40.2250_N_29.0400_E_type:city","40.2250°N 29.0400°E")</f>
        <v>40.2250°N 29.0400°E</v>
      </c>
      <c r="D134" s="8" t="s">
        <v>1193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.75" customHeight="1" x14ac:dyDescent="0.35">
      <c r="A135" s="6" t="s">
        <v>768</v>
      </c>
      <c r="B135" s="6" t="s">
        <v>375</v>
      </c>
      <c r="C135" s="8" t="str">
        <f>HYPERLINK("https://tools.wmflabs.org/geohack/geohack.php?params=40.1770_N_29.0218_E_type:city","40.1770°N 29.0218°E")</f>
        <v>40.1770°N 29.0218°E</v>
      </c>
      <c r="D135" s="8" t="s">
        <v>1190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.75" customHeight="1" x14ac:dyDescent="0.35">
      <c r="A136" s="6" t="s">
        <v>769</v>
      </c>
      <c r="B136" s="6" t="s">
        <v>376</v>
      </c>
      <c r="C136" s="8" t="str">
        <f>HYPERLINK("https://tools.wmflabs.org/geohack/geohack.php?params=40.2700_N_29.0300_E_type:city","40.2700°N 29.0300°E")</f>
        <v>40.2700°N 29.0300°E</v>
      </c>
      <c r="D136" s="8" t="s">
        <v>1193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.75" customHeight="1" x14ac:dyDescent="0.35">
      <c r="A137" s="6" t="s">
        <v>770</v>
      </c>
      <c r="B137" s="6" t="s">
        <v>377</v>
      </c>
      <c r="C137" s="8" t="str">
        <f>HYPERLINK("https://tools.wmflabs.org/geohack/geohack.php?params=40.1944_N_29.0816_E_type:city","40.1944°N 29.0816°E")</f>
        <v>40.1944°N 29.0816°E</v>
      </c>
      <c r="D137" s="8" t="s">
        <v>1195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.75" customHeight="1" x14ac:dyDescent="0.35">
      <c r="A138" s="6"/>
      <c r="B138" s="6"/>
      <c r="C138" s="9"/>
      <c r="D138" s="9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.75" customHeight="1" x14ac:dyDescent="0.35">
      <c r="A139" s="6"/>
      <c r="B139" s="6"/>
      <c r="C139" s="9"/>
      <c r="D139" s="9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.75" customHeight="1" x14ac:dyDescent="0.35">
      <c r="A140" s="6"/>
      <c r="B140" s="6"/>
      <c r="C140" s="9"/>
      <c r="D140" s="9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.75" customHeight="1" x14ac:dyDescent="0.35">
      <c r="A141" s="6"/>
      <c r="B141" s="6"/>
      <c r="C141" s="9"/>
      <c r="D141" s="9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.75" customHeight="1" x14ac:dyDescent="0.35">
      <c r="A142" s="6"/>
      <c r="B142" s="6"/>
      <c r="C142" s="9"/>
      <c r="D142" s="9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75" customHeight="1" x14ac:dyDescent="0.35">
      <c r="A143" s="6"/>
      <c r="B143" s="6"/>
      <c r="C143" s="9"/>
      <c r="D143" s="9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75" customHeight="1" x14ac:dyDescent="0.35">
      <c r="A144" s="6"/>
      <c r="B144" s="6"/>
      <c r="C144" s="9"/>
      <c r="D144" s="9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75" customHeight="1" x14ac:dyDescent="0.35">
      <c r="A145" s="6"/>
      <c r="B145" s="6"/>
      <c r="C145" s="9"/>
      <c r="D145" s="9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75" customHeight="1" x14ac:dyDescent="0.35">
      <c r="A146" s="6"/>
      <c r="B146" s="6"/>
      <c r="C146" s="9"/>
      <c r="D146" s="9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75" customHeight="1" x14ac:dyDescent="0.35">
      <c r="A147" s="6"/>
      <c r="B147" s="6"/>
      <c r="C147" s="9"/>
      <c r="D147" s="9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75" customHeight="1" x14ac:dyDescent="0.35">
      <c r="A148" s="6"/>
      <c r="B148" s="6"/>
      <c r="C148" s="9"/>
      <c r="D148" s="9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customHeight="1" x14ac:dyDescent="0.35">
      <c r="A149" s="6"/>
      <c r="B149" s="6"/>
      <c r="C149" s="9"/>
      <c r="D149" s="9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customHeight="1" x14ac:dyDescent="0.35">
      <c r="A150" s="6"/>
      <c r="B150" s="6"/>
      <c r="C150" s="9"/>
      <c r="D150" s="9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customHeight="1" x14ac:dyDescent="0.35">
      <c r="A151" s="6"/>
      <c r="B151" s="6"/>
      <c r="C151" s="9"/>
      <c r="D151" s="9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customHeight="1" x14ac:dyDescent="0.35">
      <c r="A152" s="6"/>
      <c r="B152" s="6"/>
      <c r="C152" s="9"/>
      <c r="D152" s="9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customHeight="1" x14ac:dyDescent="0.35">
      <c r="A153" s="6"/>
      <c r="B153" s="6"/>
      <c r="C153" s="9"/>
      <c r="D153" s="9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75" customHeight="1" x14ac:dyDescent="0.35">
      <c r="A154" s="6"/>
      <c r="B154" s="6"/>
      <c r="C154" s="9"/>
      <c r="D154" s="9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75" customHeight="1" x14ac:dyDescent="0.35">
      <c r="A155" s="6"/>
      <c r="B155" s="6"/>
      <c r="C155" s="9"/>
      <c r="D155" s="9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75" customHeight="1" x14ac:dyDescent="0.35">
      <c r="A156" s="6"/>
      <c r="B156" s="6"/>
      <c r="C156" s="9"/>
      <c r="D156" s="9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.75" customHeight="1" x14ac:dyDescent="0.35">
      <c r="A157" s="6"/>
      <c r="B157" s="6"/>
      <c r="C157" s="9"/>
      <c r="D157" s="9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.75" customHeight="1" x14ac:dyDescent="0.35">
      <c r="A158" s="6"/>
      <c r="B158" s="6"/>
      <c r="C158" s="9"/>
      <c r="D158" s="9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.75" customHeight="1" x14ac:dyDescent="0.35">
      <c r="A159" s="6"/>
      <c r="B159" s="6"/>
      <c r="C159" s="9"/>
      <c r="D159" s="9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.75" customHeight="1" x14ac:dyDescent="0.35">
      <c r="A160" s="6"/>
      <c r="B160" s="6"/>
      <c r="C160" s="9"/>
      <c r="D160" s="9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75" customHeight="1" x14ac:dyDescent="0.35">
      <c r="A161" s="6"/>
      <c r="B161" s="6"/>
      <c r="C161" s="9"/>
      <c r="D161" s="9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75" customHeight="1" x14ac:dyDescent="0.35">
      <c r="A162" s="6"/>
      <c r="B162" s="6"/>
      <c r="C162" s="9"/>
      <c r="D162" s="9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75" customHeight="1" x14ac:dyDescent="0.35">
      <c r="A163" s="6"/>
      <c r="B163" s="6"/>
      <c r="C163" s="9"/>
      <c r="D163" s="9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75" customHeight="1" x14ac:dyDescent="0.35">
      <c r="A164" s="6"/>
      <c r="B164" s="6"/>
      <c r="C164" s="9"/>
      <c r="D164" s="9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75" customHeight="1" x14ac:dyDescent="0.35">
      <c r="A165" s="6"/>
      <c r="B165" s="6"/>
      <c r="C165" s="9"/>
      <c r="D165" s="9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75" customHeight="1" x14ac:dyDescent="0.35">
      <c r="A166" s="6"/>
      <c r="B166" s="6"/>
      <c r="C166" s="9"/>
      <c r="D166" s="9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75" customHeight="1" x14ac:dyDescent="0.35">
      <c r="A167" s="6"/>
      <c r="B167" s="6"/>
      <c r="C167" s="9"/>
      <c r="D167" s="9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75" customHeight="1" x14ac:dyDescent="0.35">
      <c r="A168" s="6"/>
      <c r="B168" s="6"/>
      <c r="C168" s="9"/>
      <c r="D168" s="9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75" customHeight="1" x14ac:dyDescent="0.35">
      <c r="A169" s="6"/>
      <c r="B169" s="6"/>
      <c r="C169" s="9"/>
      <c r="D169" s="9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75" customHeight="1" x14ac:dyDescent="0.35">
      <c r="A170" s="6"/>
      <c r="B170" s="6"/>
      <c r="C170" s="9"/>
      <c r="D170" s="9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75" customHeight="1" x14ac:dyDescent="0.35">
      <c r="A171" s="6"/>
      <c r="B171" s="6"/>
      <c r="C171" s="9"/>
      <c r="D171" s="9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.75" customHeight="1" x14ac:dyDescent="0.35">
      <c r="A172" s="6"/>
      <c r="B172" s="6"/>
      <c r="C172" s="9"/>
      <c r="D172" s="9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.75" customHeight="1" x14ac:dyDescent="0.35">
      <c r="A173" s="6"/>
      <c r="B173" s="6"/>
      <c r="C173" s="9"/>
      <c r="D173" s="9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.75" customHeight="1" x14ac:dyDescent="0.35">
      <c r="A174" s="6"/>
      <c r="B174" s="6"/>
      <c r="C174" s="9"/>
      <c r="D174" s="9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75" customHeight="1" x14ac:dyDescent="0.35">
      <c r="A175" s="6"/>
      <c r="B175" s="6"/>
      <c r="C175" s="9"/>
      <c r="D175" s="9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75" customHeight="1" x14ac:dyDescent="0.35">
      <c r="A176" s="6"/>
      <c r="B176" s="6"/>
      <c r="C176" s="9"/>
      <c r="D176" s="9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75" customHeight="1" x14ac:dyDescent="0.35">
      <c r="A177" s="6"/>
      <c r="B177" s="6"/>
      <c r="C177" s="9"/>
      <c r="D177" s="9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customHeight="1" x14ac:dyDescent="0.35">
      <c r="A178" s="6"/>
      <c r="B178" s="6"/>
      <c r="C178" s="9"/>
      <c r="D178" s="9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customHeight="1" x14ac:dyDescent="0.35">
      <c r="A179" s="6"/>
      <c r="B179" s="6"/>
      <c r="C179" s="9"/>
      <c r="D179" s="9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75" customHeight="1" x14ac:dyDescent="0.35">
      <c r="A180" s="6"/>
      <c r="B180" s="6"/>
      <c r="C180" s="9"/>
      <c r="D180" s="9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75" customHeight="1" x14ac:dyDescent="0.35">
      <c r="A181" s="6"/>
      <c r="B181" s="6"/>
      <c r="C181" s="9"/>
      <c r="D181" s="9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75" customHeight="1" x14ac:dyDescent="0.35">
      <c r="A182" s="6"/>
      <c r="B182" s="6"/>
      <c r="C182" s="9"/>
      <c r="D182" s="9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.75" customHeight="1" x14ac:dyDescent="0.35">
      <c r="A183" s="6"/>
      <c r="B183" s="6"/>
      <c r="C183" s="9"/>
      <c r="D183" s="9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.75" customHeight="1" x14ac:dyDescent="0.35">
      <c r="A184" s="6"/>
      <c r="B184" s="6"/>
      <c r="C184" s="9"/>
      <c r="D184" s="9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75" customHeight="1" x14ac:dyDescent="0.35">
      <c r="A185" s="6"/>
      <c r="B185" s="6"/>
      <c r="C185" s="9"/>
      <c r="D185" s="9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.75" customHeight="1" x14ac:dyDescent="0.35">
      <c r="A186" s="6"/>
      <c r="B186" s="6"/>
      <c r="C186" s="9"/>
      <c r="D186" s="9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75" customHeight="1" x14ac:dyDescent="0.35">
      <c r="A187" s="6"/>
      <c r="B187" s="6"/>
      <c r="C187" s="9"/>
      <c r="D187" s="9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.75" customHeight="1" x14ac:dyDescent="0.35">
      <c r="A188" s="6"/>
      <c r="B188" s="6"/>
      <c r="C188" s="9"/>
      <c r="D188" s="9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.75" customHeight="1" x14ac:dyDescent="0.35">
      <c r="A189" s="6"/>
      <c r="B189" s="6"/>
      <c r="C189" s="9"/>
      <c r="D189" s="9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75" customHeight="1" x14ac:dyDescent="0.35">
      <c r="A190" s="6"/>
      <c r="B190" s="6"/>
      <c r="C190" s="9"/>
      <c r="D190" s="9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75" customHeight="1" x14ac:dyDescent="0.35">
      <c r="A191" s="6"/>
      <c r="B191" s="6"/>
      <c r="C191" s="9"/>
      <c r="D191" s="9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75" customHeight="1" x14ac:dyDescent="0.35">
      <c r="A192" s="6"/>
      <c r="B192" s="6"/>
      <c r="C192" s="9"/>
      <c r="D192" s="9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75" customHeight="1" x14ac:dyDescent="0.35">
      <c r="A193" s="6"/>
      <c r="B193" s="6"/>
      <c r="C193" s="9"/>
      <c r="D193" s="9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75" customHeight="1" x14ac:dyDescent="0.35">
      <c r="A194" s="6"/>
      <c r="B194" s="6"/>
      <c r="C194" s="9"/>
      <c r="D194" s="9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75" customHeight="1" x14ac:dyDescent="0.35">
      <c r="A195" s="6"/>
      <c r="B195" s="6"/>
      <c r="C195" s="9"/>
      <c r="D195" s="9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75" customHeight="1" x14ac:dyDescent="0.35">
      <c r="A196" s="6"/>
      <c r="B196" s="6"/>
      <c r="C196" s="9"/>
      <c r="D196" s="9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75" customHeight="1" x14ac:dyDescent="0.35">
      <c r="A197" s="6"/>
      <c r="B197" s="6"/>
      <c r="C197" s="9"/>
      <c r="D197" s="9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75" customHeight="1" x14ac:dyDescent="0.35">
      <c r="A198" s="6"/>
      <c r="B198" s="6"/>
      <c r="C198" s="9"/>
      <c r="D198" s="9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75" customHeight="1" x14ac:dyDescent="0.35">
      <c r="A199" s="6"/>
      <c r="B199" s="6"/>
      <c r="C199" s="9"/>
      <c r="D199" s="9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75" customHeight="1" x14ac:dyDescent="0.35">
      <c r="A200" s="6"/>
      <c r="B200" s="6"/>
      <c r="C200" s="9"/>
      <c r="D200" s="9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75" customHeight="1" x14ac:dyDescent="0.35">
      <c r="A201" s="6"/>
      <c r="B201" s="6"/>
      <c r="C201" s="9"/>
      <c r="D201" s="9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customHeight="1" x14ac:dyDescent="0.35">
      <c r="A202" s="6"/>
      <c r="B202" s="6"/>
      <c r="C202" s="9"/>
      <c r="D202" s="9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customHeight="1" x14ac:dyDescent="0.35">
      <c r="A203" s="6"/>
      <c r="B203" s="6"/>
      <c r="C203" s="9"/>
      <c r="D203" s="9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customHeight="1" x14ac:dyDescent="0.35">
      <c r="A204" s="6"/>
      <c r="B204" s="6"/>
      <c r="C204" s="9"/>
      <c r="D204" s="9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customHeight="1" x14ac:dyDescent="0.35">
      <c r="A205" s="6"/>
      <c r="B205" s="6"/>
      <c r="C205" s="9"/>
      <c r="D205" s="9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customHeight="1" x14ac:dyDescent="0.35">
      <c r="A206" s="6"/>
      <c r="B206" s="6"/>
      <c r="C206" s="9"/>
      <c r="D206" s="9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 x14ac:dyDescent="0.35">
      <c r="A207" s="6"/>
      <c r="B207" s="6"/>
      <c r="C207" s="9"/>
      <c r="D207" s="9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 x14ac:dyDescent="0.35">
      <c r="A208" s="6"/>
      <c r="B208" s="6"/>
      <c r="C208" s="9"/>
      <c r="D208" s="9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 x14ac:dyDescent="0.35">
      <c r="A209" s="6"/>
      <c r="B209" s="6"/>
      <c r="C209" s="9"/>
      <c r="D209" s="9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 x14ac:dyDescent="0.35">
      <c r="A210" s="6"/>
      <c r="B210" s="6"/>
      <c r="C210" s="9"/>
      <c r="D210" s="9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 x14ac:dyDescent="0.35">
      <c r="A211" s="6"/>
      <c r="B211" s="6"/>
      <c r="C211" s="9"/>
      <c r="D211" s="9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 x14ac:dyDescent="0.35">
      <c r="A212" s="6"/>
      <c r="B212" s="6"/>
      <c r="C212" s="9"/>
      <c r="D212" s="9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 x14ac:dyDescent="0.35">
      <c r="A213" s="6"/>
      <c r="B213" s="6"/>
      <c r="C213" s="9"/>
      <c r="D213" s="9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 x14ac:dyDescent="0.35">
      <c r="A214" s="6"/>
      <c r="B214" s="6"/>
      <c r="C214" s="9"/>
      <c r="D214" s="9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 x14ac:dyDescent="0.35">
      <c r="A215" s="6"/>
      <c r="B215" s="6"/>
      <c r="C215" s="9"/>
      <c r="D215" s="9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 x14ac:dyDescent="0.35">
      <c r="A216" s="6"/>
      <c r="B216" s="6"/>
      <c r="C216" s="9"/>
      <c r="D216" s="9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 x14ac:dyDescent="0.35">
      <c r="A217" s="6"/>
      <c r="B217" s="6"/>
      <c r="C217" s="9"/>
      <c r="D217" s="9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 x14ac:dyDescent="0.35">
      <c r="A218" s="6"/>
      <c r="B218" s="6"/>
      <c r="C218" s="9"/>
      <c r="D218" s="9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 x14ac:dyDescent="0.35">
      <c r="A219" s="6"/>
      <c r="B219" s="6"/>
      <c r="C219" s="9"/>
      <c r="D219" s="9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 x14ac:dyDescent="0.35">
      <c r="A220" s="6"/>
      <c r="B220" s="6"/>
      <c r="C220" s="9"/>
      <c r="D220" s="9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 x14ac:dyDescent="0.35">
      <c r="A221" s="6"/>
      <c r="B221" s="6"/>
      <c r="C221" s="9"/>
      <c r="D221" s="9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 x14ac:dyDescent="0.35">
      <c r="A222" s="6"/>
      <c r="B222" s="6"/>
      <c r="C222" s="9"/>
      <c r="D222" s="9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 x14ac:dyDescent="0.35">
      <c r="A223" s="6"/>
      <c r="B223" s="6"/>
      <c r="C223" s="9"/>
      <c r="D223" s="9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 x14ac:dyDescent="0.35">
      <c r="A224" s="6"/>
      <c r="B224" s="6"/>
      <c r="C224" s="9"/>
      <c r="D224" s="9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 x14ac:dyDescent="0.35">
      <c r="A225" s="6"/>
      <c r="B225" s="6"/>
      <c r="C225" s="9"/>
      <c r="D225" s="9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 x14ac:dyDescent="0.35">
      <c r="A226" s="6"/>
      <c r="B226" s="6"/>
      <c r="C226" s="9"/>
      <c r="D226" s="9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 x14ac:dyDescent="0.35">
      <c r="A227" s="6"/>
      <c r="B227" s="6"/>
      <c r="C227" s="9"/>
      <c r="D227" s="9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 x14ac:dyDescent="0.35">
      <c r="A228" s="6"/>
      <c r="B228" s="6"/>
      <c r="C228" s="9"/>
      <c r="D228" s="9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 x14ac:dyDescent="0.35">
      <c r="A229" s="6"/>
      <c r="B229" s="6"/>
      <c r="C229" s="9"/>
      <c r="D229" s="9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 x14ac:dyDescent="0.35">
      <c r="A230" s="6"/>
      <c r="B230" s="6"/>
      <c r="C230" s="9"/>
      <c r="D230" s="9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 x14ac:dyDescent="0.35">
      <c r="A231" s="6"/>
      <c r="B231" s="6"/>
      <c r="C231" s="9"/>
      <c r="D231" s="9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 x14ac:dyDescent="0.35">
      <c r="A232" s="6"/>
      <c r="B232" s="6"/>
      <c r="C232" s="9"/>
      <c r="D232" s="9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 x14ac:dyDescent="0.35">
      <c r="A233" s="6"/>
      <c r="B233" s="6"/>
      <c r="C233" s="9"/>
      <c r="D233" s="9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 x14ac:dyDescent="0.35">
      <c r="A234" s="6"/>
      <c r="B234" s="6"/>
      <c r="C234" s="9"/>
      <c r="D234" s="9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 x14ac:dyDescent="0.35">
      <c r="A235" s="6"/>
      <c r="B235" s="6"/>
      <c r="C235" s="9"/>
      <c r="D235" s="9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 x14ac:dyDescent="0.35">
      <c r="A236" s="6"/>
      <c r="B236" s="6"/>
      <c r="C236" s="9"/>
      <c r="D236" s="9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 x14ac:dyDescent="0.35">
      <c r="A237" s="6"/>
      <c r="B237" s="6"/>
      <c r="C237" s="9"/>
      <c r="D237" s="9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 x14ac:dyDescent="0.35">
      <c r="A238" s="6"/>
      <c r="B238" s="6"/>
      <c r="C238" s="9"/>
      <c r="D238" s="9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 x14ac:dyDescent="0.35">
      <c r="A239" s="6"/>
      <c r="B239" s="6"/>
      <c r="C239" s="9"/>
      <c r="D239" s="9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 x14ac:dyDescent="0.35">
      <c r="A240" s="6"/>
      <c r="B240" s="6"/>
      <c r="C240" s="9"/>
      <c r="D240" s="9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 x14ac:dyDescent="0.35">
      <c r="A241" s="6"/>
      <c r="B241" s="6"/>
      <c r="C241" s="9"/>
      <c r="D241" s="9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 x14ac:dyDescent="0.35">
      <c r="A242" s="6"/>
      <c r="B242" s="6"/>
      <c r="C242" s="9"/>
      <c r="D242" s="9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 x14ac:dyDescent="0.35">
      <c r="A243" s="6"/>
      <c r="B243" s="6"/>
      <c r="C243" s="9"/>
      <c r="D243" s="9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 x14ac:dyDescent="0.35">
      <c r="A244" s="6"/>
      <c r="B244" s="6"/>
      <c r="C244" s="9"/>
      <c r="D244" s="9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 x14ac:dyDescent="0.35">
      <c r="A245" s="6"/>
      <c r="B245" s="6"/>
      <c r="C245" s="9"/>
      <c r="D245" s="9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 x14ac:dyDescent="0.35">
      <c r="A246" s="6"/>
      <c r="B246" s="6"/>
      <c r="C246" s="9"/>
      <c r="D246" s="9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 x14ac:dyDescent="0.35">
      <c r="A247" s="6"/>
      <c r="B247" s="6"/>
      <c r="C247" s="9"/>
      <c r="D247" s="9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 x14ac:dyDescent="0.35">
      <c r="A248" s="6"/>
      <c r="B248" s="6"/>
      <c r="C248" s="9"/>
      <c r="D248" s="9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 x14ac:dyDescent="0.35">
      <c r="A249" s="6"/>
      <c r="B249" s="6"/>
      <c r="C249" s="9"/>
      <c r="D249" s="9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 x14ac:dyDescent="0.35">
      <c r="A250" s="6"/>
      <c r="B250" s="6"/>
      <c r="C250" s="9"/>
      <c r="D250" s="9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 x14ac:dyDescent="0.35">
      <c r="A251" s="6"/>
      <c r="B251" s="6"/>
      <c r="C251" s="9"/>
      <c r="D251" s="9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 x14ac:dyDescent="0.35">
      <c r="A252" s="6"/>
      <c r="B252" s="6"/>
      <c r="C252" s="9"/>
      <c r="D252" s="9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 x14ac:dyDescent="0.35">
      <c r="A253" s="6"/>
      <c r="B253" s="6"/>
      <c r="C253" s="9"/>
      <c r="D253" s="9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 x14ac:dyDescent="0.35">
      <c r="A254" s="6"/>
      <c r="B254" s="6"/>
      <c r="C254" s="9"/>
      <c r="D254" s="9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 x14ac:dyDescent="0.35">
      <c r="A255" s="6"/>
      <c r="B255" s="6"/>
      <c r="C255" s="9"/>
      <c r="D255" s="9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 x14ac:dyDescent="0.35">
      <c r="A256" s="6"/>
      <c r="B256" s="6"/>
      <c r="C256" s="9"/>
      <c r="D256" s="9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 x14ac:dyDescent="0.35">
      <c r="A257" s="6"/>
      <c r="B257" s="6"/>
      <c r="C257" s="9"/>
      <c r="D257" s="9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 x14ac:dyDescent="0.35">
      <c r="A258" s="6"/>
      <c r="B258" s="6"/>
      <c r="C258" s="9"/>
      <c r="D258" s="9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 x14ac:dyDescent="0.35">
      <c r="A259" s="6"/>
      <c r="B259" s="6"/>
      <c r="C259" s="9"/>
      <c r="D259" s="9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 x14ac:dyDescent="0.35">
      <c r="A260" s="6"/>
      <c r="B260" s="6"/>
      <c r="C260" s="9"/>
      <c r="D260" s="9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 x14ac:dyDescent="0.35">
      <c r="A261" s="6"/>
      <c r="B261" s="6"/>
      <c r="C261" s="9"/>
      <c r="D261" s="9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 x14ac:dyDescent="0.35">
      <c r="A262" s="6"/>
      <c r="B262" s="6"/>
      <c r="C262" s="9"/>
      <c r="D262" s="9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 x14ac:dyDescent="0.35">
      <c r="A263" s="6"/>
      <c r="B263" s="6"/>
      <c r="C263" s="9"/>
      <c r="D263" s="9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 x14ac:dyDescent="0.35">
      <c r="A264" s="6"/>
      <c r="B264" s="6"/>
      <c r="C264" s="9"/>
      <c r="D264" s="9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 x14ac:dyDescent="0.35">
      <c r="A265" s="6"/>
      <c r="B265" s="6"/>
      <c r="C265" s="9"/>
      <c r="D265" s="9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 x14ac:dyDescent="0.35">
      <c r="A266" s="6"/>
      <c r="B266" s="6"/>
      <c r="C266" s="9"/>
      <c r="D266" s="9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 x14ac:dyDescent="0.35">
      <c r="A267" s="6"/>
      <c r="B267" s="6"/>
      <c r="C267" s="9"/>
      <c r="D267" s="9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 x14ac:dyDescent="0.35">
      <c r="A268" s="6"/>
      <c r="B268" s="6"/>
      <c r="C268" s="9"/>
      <c r="D268" s="9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 x14ac:dyDescent="0.35">
      <c r="A269" s="6"/>
      <c r="B269" s="6"/>
      <c r="C269" s="9"/>
      <c r="D269" s="9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 x14ac:dyDescent="0.35">
      <c r="A270" s="6"/>
      <c r="B270" s="6"/>
      <c r="C270" s="9"/>
      <c r="D270" s="9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 x14ac:dyDescent="0.35">
      <c r="A271" s="6"/>
      <c r="B271" s="6"/>
      <c r="C271" s="9"/>
      <c r="D271" s="9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 x14ac:dyDescent="0.35">
      <c r="A272" s="6"/>
      <c r="B272" s="6"/>
      <c r="C272" s="9"/>
      <c r="D272" s="9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 x14ac:dyDescent="0.35">
      <c r="A273" s="6"/>
      <c r="B273" s="6"/>
      <c r="C273" s="9"/>
      <c r="D273" s="9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 x14ac:dyDescent="0.35">
      <c r="A274" s="6"/>
      <c r="B274" s="6"/>
      <c r="C274" s="9"/>
      <c r="D274" s="9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 x14ac:dyDescent="0.35">
      <c r="A275" s="6"/>
      <c r="B275" s="6"/>
      <c r="C275" s="9"/>
      <c r="D275" s="9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 x14ac:dyDescent="0.35">
      <c r="A276" s="6"/>
      <c r="B276" s="6"/>
      <c r="C276" s="9"/>
      <c r="D276" s="9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 x14ac:dyDescent="0.35">
      <c r="A277" s="6"/>
      <c r="B277" s="6"/>
      <c r="C277" s="9"/>
      <c r="D277" s="9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 x14ac:dyDescent="0.35">
      <c r="A278" s="6"/>
      <c r="B278" s="6"/>
      <c r="C278" s="9"/>
      <c r="D278" s="9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 x14ac:dyDescent="0.35">
      <c r="A279" s="6"/>
      <c r="B279" s="6"/>
      <c r="C279" s="9"/>
      <c r="D279" s="9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 x14ac:dyDescent="0.35">
      <c r="A280" s="6"/>
      <c r="B280" s="6"/>
      <c r="C280" s="9"/>
      <c r="D280" s="9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 x14ac:dyDescent="0.35">
      <c r="A281" s="6"/>
      <c r="B281" s="6"/>
      <c r="C281" s="9"/>
      <c r="D281" s="9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 x14ac:dyDescent="0.35">
      <c r="A282" s="6"/>
      <c r="B282" s="6"/>
      <c r="C282" s="9"/>
      <c r="D282" s="9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 x14ac:dyDescent="0.35">
      <c r="A283" s="6"/>
      <c r="B283" s="6"/>
      <c r="C283" s="9"/>
      <c r="D283" s="9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 x14ac:dyDescent="0.35">
      <c r="A284" s="6"/>
      <c r="B284" s="6"/>
      <c r="C284" s="9"/>
      <c r="D284" s="9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 x14ac:dyDescent="0.35">
      <c r="A285" s="6"/>
      <c r="B285" s="6"/>
      <c r="C285" s="9"/>
      <c r="D285" s="9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 x14ac:dyDescent="0.35">
      <c r="A286" s="6"/>
      <c r="B286" s="6"/>
      <c r="C286" s="9"/>
      <c r="D286" s="9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 x14ac:dyDescent="0.35">
      <c r="A287" s="6"/>
      <c r="B287" s="6"/>
      <c r="C287" s="9"/>
      <c r="D287" s="9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 x14ac:dyDescent="0.35">
      <c r="A288" s="6"/>
      <c r="B288" s="6"/>
      <c r="C288" s="9"/>
      <c r="D288" s="9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 x14ac:dyDescent="0.35">
      <c r="A289" s="6"/>
      <c r="B289" s="6"/>
      <c r="C289" s="9"/>
      <c r="D289" s="9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 x14ac:dyDescent="0.35">
      <c r="A290" s="6"/>
      <c r="B290" s="6"/>
      <c r="C290" s="9"/>
      <c r="D290" s="9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 x14ac:dyDescent="0.35">
      <c r="A291" s="6"/>
      <c r="B291" s="6"/>
      <c r="C291" s="9"/>
      <c r="D291" s="9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 x14ac:dyDescent="0.35">
      <c r="A292" s="6"/>
      <c r="B292" s="6"/>
      <c r="C292" s="9"/>
      <c r="D292" s="9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 x14ac:dyDescent="0.35">
      <c r="A293" s="6"/>
      <c r="B293" s="6"/>
      <c r="C293" s="9"/>
      <c r="D293" s="9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 x14ac:dyDescent="0.35">
      <c r="A294" s="6"/>
      <c r="B294" s="6"/>
      <c r="C294" s="9"/>
      <c r="D294" s="9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 x14ac:dyDescent="0.35">
      <c r="A295" s="6"/>
      <c r="B295" s="6"/>
      <c r="C295" s="9"/>
      <c r="D295" s="9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 x14ac:dyDescent="0.35">
      <c r="A296" s="6"/>
      <c r="B296" s="6"/>
      <c r="C296" s="9"/>
      <c r="D296" s="9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 x14ac:dyDescent="0.35">
      <c r="A297" s="6"/>
      <c r="B297" s="6"/>
      <c r="C297" s="9"/>
      <c r="D297" s="9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 x14ac:dyDescent="0.35">
      <c r="A298" s="6"/>
      <c r="B298" s="6"/>
      <c r="C298" s="9"/>
      <c r="D298" s="9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 x14ac:dyDescent="0.35">
      <c r="A299" s="6"/>
      <c r="B299" s="6"/>
      <c r="C299" s="9"/>
      <c r="D299" s="9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 x14ac:dyDescent="0.35">
      <c r="A300" s="6"/>
      <c r="B300" s="6"/>
      <c r="C300" s="9"/>
      <c r="D300" s="9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 x14ac:dyDescent="0.35">
      <c r="A301" s="6"/>
      <c r="B301" s="6"/>
      <c r="C301" s="9"/>
      <c r="D301" s="9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 x14ac:dyDescent="0.35">
      <c r="A302" s="6"/>
      <c r="B302" s="6"/>
      <c r="C302" s="9"/>
      <c r="D302" s="9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 x14ac:dyDescent="0.35">
      <c r="A303" s="6"/>
      <c r="B303" s="6"/>
      <c r="C303" s="9"/>
      <c r="D303" s="9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 x14ac:dyDescent="0.35">
      <c r="A304" s="6"/>
      <c r="B304" s="6"/>
      <c r="C304" s="9"/>
      <c r="D304" s="9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 x14ac:dyDescent="0.35">
      <c r="A305" s="6"/>
      <c r="B305" s="6"/>
      <c r="C305" s="9"/>
      <c r="D305" s="9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 x14ac:dyDescent="0.35">
      <c r="A306" s="6"/>
      <c r="B306" s="6"/>
      <c r="C306" s="9"/>
      <c r="D306" s="9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 x14ac:dyDescent="0.35">
      <c r="A307" s="6"/>
      <c r="B307" s="6"/>
      <c r="C307" s="9"/>
      <c r="D307" s="9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 x14ac:dyDescent="0.35">
      <c r="A308" s="6"/>
      <c r="B308" s="6"/>
      <c r="C308" s="9"/>
      <c r="D308" s="9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 x14ac:dyDescent="0.35">
      <c r="A309" s="6"/>
      <c r="B309" s="6"/>
      <c r="C309" s="9"/>
      <c r="D309" s="9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 x14ac:dyDescent="0.35">
      <c r="A310" s="6"/>
      <c r="B310" s="6"/>
      <c r="C310" s="9"/>
      <c r="D310" s="9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 x14ac:dyDescent="0.35">
      <c r="A311" s="6"/>
      <c r="B311" s="6"/>
      <c r="C311" s="9"/>
      <c r="D311" s="9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 x14ac:dyDescent="0.35">
      <c r="A312" s="6"/>
      <c r="B312" s="6"/>
      <c r="C312" s="9"/>
      <c r="D312" s="9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 x14ac:dyDescent="0.35">
      <c r="A313" s="6"/>
      <c r="B313" s="6"/>
      <c r="C313" s="9"/>
      <c r="D313" s="9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 x14ac:dyDescent="0.35">
      <c r="A314" s="6"/>
      <c r="B314" s="6"/>
      <c r="C314" s="9"/>
      <c r="D314" s="9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 x14ac:dyDescent="0.35">
      <c r="A315" s="6"/>
      <c r="B315" s="6"/>
      <c r="C315" s="9"/>
      <c r="D315" s="9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 x14ac:dyDescent="0.35">
      <c r="A316" s="6"/>
      <c r="B316" s="6"/>
      <c r="C316" s="9"/>
      <c r="D316" s="9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 x14ac:dyDescent="0.35">
      <c r="A317" s="6"/>
      <c r="B317" s="6"/>
      <c r="C317" s="9"/>
      <c r="D317" s="9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 x14ac:dyDescent="0.35">
      <c r="A318" s="6"/>
      <c r="B318" s="6"/>
      <c r="C318" s="9"/>
      <c r="D318" s="9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 x14ac:dyDescent="0.35">
      <c r="A319" s="6"/>
      <c r="B319" s="6"/>
      <c r="C319" s="9"/>
      <c r="D319" s="9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 x14ac:dyDescent="0.35">
      <c r="A320" s="6"/>
      <c r="B320" s="6"/>
      <c r="C320" s="9"/>
      <c r="D320" s="9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 x14ac:dyDescent="0.35">
      <c r="A321" s="6"/>
      <c r="B321" s="6"/>
      <c r="C321" s="9"/>
      <c r="D321" s="9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 x14ac:dyDescent="0.35">
      <c r="A322" s="6"/>
      <c r="B322" s="6"/>
      <c r="C322" s="9"/>
      <c r="D322" s="9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 x14ac:dyDescent="0.35">
      <c r="A323" s="6"/>
      <c r="B323" s="6"/>
      <c r="C323" s="9"/>
      <c r="D323" s="9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 x14ac:dyDescent="0.35">
      <c r="A324" s="6"/>
      <c r="B324" s="6"/>
      <c r="C324" s="9"/>
      <c r="D324" s="9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 x14ac:dyDescent="0.35">
      <c r="A325" s="6"/>
      <c r="B325" s="6"/>
      <c r="C325" s="9"/>
      <c r="D325" s="9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 x14ac:dyDescent="0.35">
      <c r="A326" s="6"/>
      <c r="B326" s="6"/>
      <c r="C326" s="9"/>
      <c r="D326" s="9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 x14ac:dyDescent="0.35">
      <c r="A327" s="6"/>
      <c r="B327" s="6"/>
      <c r="C327" s="9"/>
      <c r="D327" s="9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 x14ac:dyDescent="0.35">
      <c r="A328" s="6"/>
      <c r="B328" s="6"/>
      <c r="C328" s="9"/>
      <c r="D328" s="9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 x14ac:dyDescent="0.35">
      <c r="A329" s="6"/>
      <c r="B329" s="6"/>
      <c r="C329" s="9"/>
      <c r="D329" s="9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 x14ac:dyDescent="0.35">
      <c r="A330" s="6"/>
      <c r="B330" s="6"/>
      <c r="C330" s="9"/>
      <c r="D330" s="9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 x14ac:dyDescent="0.35">
      <c r="A331" s="6"/>
      <c r="B331" s="6"/>
      <c r="C331" s="9"/>
      <c r="D331" s="9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 x14ac:dyDescent="0.35">
      <c r="A332" s="6"/>
      <c r="B332" s="6"/>
      <c r="C332" s="9"/>
      <c r="D332" s="9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 x14ac:dyDescent="0.35">
      <c r="A333" s="6"/>
      <c r="B333" s="6"/>
      <c r="C333" s="9"/>
      <c r="D333" s="9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 x14ac:dyDescent="0.35">
      <c r="A334" s="6"/>
      <c r="B334" s="6"/>
      <c r="C334" s="9"/>
      <c r="D334" s="9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 x14ac:dyDescent="0.35">
      <c r="A335" s="6"/>
      <c r="B335" s="6"/>
      <c r="C335" s="9"/>
      <c r="D335" s="9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 x14ac:dyDescent="0.35">
      <c r="A336" s="6"/>
      <c r="B336" s="6"/>
      <c r="C336" s="9"/>
      <c r="D336" s="9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 x14ac:dyDescent="0.35">
      <c r="A337" s="6"/>
      <c r="B337" s="6"/>
      <c r="C337" s="9"/>
      <c r="D337" s="9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 x14ac:dyDescent="0.35">
      <c r="A338" s="6"/>
      <c r="B338" s="6"/>
      <c r="C338" s="9"/>
      <c r="D338" s="9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 x14ac:dyDescent="0.35">
      <c r="A339" s="6"/>
      <c r="B339" s="6"/>
      <c r="C339" s="9"/>
      <c r="D339" s="9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 x14ac:dyDescent="0.35">
      <c r="A340" s="6"/>
      <c r="B340" s="6"/>
      <c r="C340" s="9"/>
      <c r="D340" s="9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 x14ac:dyDescent="0.35">
      <c r="A341" s="6"/>
      <c r="B341" s="6"/>
      <c r="C341" s="9"/>
      <c r="D341" s="9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 x14ac:dyDescent="0.35">
      <c r="A342" s="6"/>
      <c r="B342" s="6"/>
      <c r="C342" s="9"/>
      <c r="D342" s="9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 x14ac:dyDescent="0.35">
      <c r="A343" s="6"/>
      <c r="B343" s="6"/>
      <c r="C343" s="9"/>
      <c r="D343" s="9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 x14ac:dyDescent="0.35">
      <c r="A344" s="6"/>
      <c r="B344" s="6"/>
      <c r="C344" s="9"/>
      <c r="D344" s="9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 x14ac:dyDescent="0.35">
      <c r="A345" s="6"/>
      <c r="B345" s="6"/>
      <c r="C345" s="9"/>
      <c r="D345" s="9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 x14ac:dyDescent="0.35">
      <c r="A346" s="6"/>
      <c r="B346" s="6"/>
      <c r="C346" s="9"/>
      <c r="D346" s="9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 x14ac:dyDescent="0.35">
      <c r="A347" s="6"/>
      <c r="B347" s="6"/>
      <c r="C347" s="9"/>
      <c r="D347" s="9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 x14ac:dyDescent="0.35">
      <c r="A348" s="6"/>
      <c r="B348" s="6"/>
      <c r="C348" s="9"/>
      <c r="D348" s="9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 x14ac:dyDescent="0.35">
      <c r="A349" s="6"/>
      <c r="B349" s="6"/>
      <c r="C349" s="9"/>
      <c r="D349" s="9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 x14ac:dyDescent="0.35">
      <c r="A350" s="6"/>
      <c r="B350" s="6"/>
      <c r="C350" s="9"/>
      <c r="D350" s="9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 x14ac:dyDescent="0.35">
      <c r="A351" s="6"/>
      <c r="B351" s="6"/>
      <c r="C351" s="9"/>
      <c r="D351" s="9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 x14ac:dyDescent="0.35">
      <c r="A352" s="6"/>
      <c r="B352" s="6"/>
      <c r="C352" s="9"/>
      <c r="D352" s="9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 x14ac:dyDescent="0.35">
      <c r="A353" s="6"/>
      <c r="B353" s="6"/>
      <c r="C353" s="9"/>
      <c r="D353" s="9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 x14ac:dyDescent="0.35">
      <c r="A354" s="6"/>
      <c r="B354" s="6"/>
      <c r="C354" s="9"/>
      <c r="D354" s="9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 x14ac:dyDescent="0.35">
      <c r="A355" s="6"/>
      <c r="B355" s="6"/>
      <c r="C355" s="9"/>
      <c r="D355" s="9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 x14ac:dyDescent="0.35">
      <c r="A356" s="6"/>
      <c r="B356" s="6"/>
      <c r="C356" s="9"/>
      <c r="D356" s="9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 x14ac:dyDescent="0.35">
      <c r="A357" s="6"/>
      <c r="B357" s="6"/>
      <c r="C357" s="9"/>
      <c r="D357" s="9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 x14ac:dyDescent="0.35">
      <c r="A358" s="6"/>
      <c r="B358" s="6"/>
      <c r="C358" s="9"/>
      <c r="D358" s="9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 x14ac:dyDescent="0.35">
      <c r="A359" s="6"/>
      <c r="B359" s="6"/>
      <c r="C359" s="9"/>
      <c r="D359" s="9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 x14ac:dyDescent="0.35">
      <c r="A360" s="6"/>
      <c r="B360" s="6"/>
      <c r="C360" s="9"/>
      <c r="D360" s="9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 x14ac:dyDescent="0.35">
      <c r="A361" s="6"/>
      <c r="B361" s="6"/>
      <c r="C361" s="9"/>
      <c r="D361" s="9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 x14ac:dyDescent="0.35">
      <c r="A362" s="6"/>
      <c r="B362" s="6"/>
      <c r="C362" s="9"/>
      <c r="D362" s="9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 x14ac:dyDescent="0.35">
      <c r="A363" s="6"/>
      <c r="B363" s="6"/>
      <c r="C363" s="9"/>
      <c r="D363" s="9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 x14ac:dyDescent="0.35">
      <c r="A364" s="6"/>
      <c r="B364" s="6"/>
      <c r="C364" s="9"/>
      <c r="D364" s="9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 x14ac:dyDescent="0.35">
      <c r="A365" s="6"/>
      <c r="B365" s="6"/>
      <c r="C365" s="9"/>
      <c r="D365" s="9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 x14ac:dyDescent="0.35">
      <c r="A366" s="6"/>
      <c r="B366" s="6"/>
      <c r="C366" s="9"/>
      <c r="D366" s="9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 x14ac:dyDescent="0.35">
      <c r="A367" s="6"/>
      <c r="B367" s="6"/>
      <c r="C367" s="9"/>
      <c r="D367" s="9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 x14ac:dyDescent="0.35">
      <c r="A368" s="6"/>
      <c r="B368" s="6"/>
      <c r="C368" s="9"/>
      <c r="D368" s="9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 x14ac:dyDescent="0.35">
      <c r="A369" s="6"/>
      <c r="B369" s="6"/>
      <c r="C369" s="9"/>
      <c r="D369" s="9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 x14ac:dyDescent="0.35">
      <c r="A370" s="6"/>
      <c r="B370" s="6"/>
      <c r="C370" s="9"/>
      <c r="D370" s="9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 x14ac:dyDescent="0.35">
      <c r="A371" s="6"/>
      <c r="B371" s="6"/>
      <c r="C371" s="9"/>
      <c r="D371" s="9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 x14ac:dyDescent="0.35">
      <c r="A372" s="6"/>
      <c r="B372" s="6"/>
      <c r="C372" s="9"/>
      <c r="D372" s="9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 x14ac:dyDescent="0.35">
      <c r="A373" s="6"/>
      <c r="B373" s="6"/>
      <c r="C373" s="9"/>
      <c r="D373" s="9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 x14ac:dyDescent="0.35">
      <c r="A374" s="6"/>
      <c r="B374" s="6"/>
      <c r="C374" s="9"/>
      <c r="D374" s="9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 x14ac:dyDescent="0.35">
      <c r="A375" s="6"/>
      <c r="B375" s="6"/>
      <c r="C375" s="9"/>
      <c r="D375" s="9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 x14ac:dyDescent="0.35">
      <c r="A376" s="6"/>
      <c r="B376" s="6"/>
      <c r="C376" s="9"/>
      <c r="D376" s="9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 x14ac:dyDescent="0.35">
      <c r="A377" s="6"/>
      <c r="B377" s="6"/>
      <c r="C377" s="9"/>
      <c r="D377" s="9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 x14ac:dyDescent="0.35">
      <c r="A378" s="6"/>
      <c r="B378" s="6"/>
      <c r="C378" s="9"/>
      <c r="D378" s="9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 x14ac:dyDescent="0.35">
      <c r="A379" s="6"/>
      <c r="B379" s="6"/>
      <c r="C379" s="9"/>
      <c r="D379" s="9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 x14ac:dyDescent="0.35">
      <c r="A380" s="6"/>
      <c r="B380" s="6"/>
      <c r="C380" s="9"/>
      <c r="D380" s="9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 x14ac:dyDescent="0.35">
      <c r="A381" s="6"/>
      <c r="B381" s="6"/>
      <c r="C381" s="9"/>
      <c r="D381" s="9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 x14ac:dyDescent="0.35">
      <c r="A382" s="6"/>
      <c r="B382" s="6"/>
      <c r="C382" s="9"/>
      <c r="D382" s="9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 x14ac:dyDescent="0.35">
      <c r="A383" s="6"/>
      <c r="B383" s="6"/>
      <c r="C383" s="9"/>
      <c r="D383" s="9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 x14ac:dyDescent="0.35">
      <c r="A384" s="6"/>
      <c r="B384" s="6"/>
      <c r="C384" s="9"/>
      <c r="D384" s="9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 x14ac:dyDescent="0.35">
      <c r="A385" s="6"/>
      <c r="B385" s="6"/>
      <c r="C385" s="9"/>
      <c r="D385" s="9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 x14ac:dyDescent="0.35">
      <c r="A386" s="6"/>
      <c r="B386" s="6"/>
      <c r="C386" s="9"/>
      <c r="D386" s="9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 x14ac:dyDescent="0.35">
      <c r="A387" s="6"/>
      <c r="B387" s="6"/>
      <c r="C387" s="9"/>
      <c r="D387" s="9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 x14ac:dyDescent="0.35">
      <c r="A388" s="6"/>
      <c r="B388" s="6"/>
      <c r="C388" s="9"/>
      <c r="D388" s="9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 x14ac:dyDescent="0.35">
      <c r="A389" s="6"/>
      <c r="B389" s="6"/>
      <c r="C389" s="9"/>
      <c r="D389" s="9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 x14ac:dyDescent="0.35">
      <c r="A390" s="6"/>
      <c r="B390" s="6"/>
      <c r="C390" s="9"/>
      <c r="D390" s="9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 x14ac:dyDescent="0.35">
      <c r="A391" s="6"/>
      <c r="B391" s="6"/>
      <c r="C391" s="9"/>
      <c r="D391" s="9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 x14ac:dyDescent="0.35">
      <c r="A392" s="6"/>
      <c r="B392" s="6"/>
      <c r="C392" s="9"/>
      <c r="D392" s="9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 x14ac:dyDescent="0.35">
      <c r="A393" s="6"/>
      <c r="B393" s="6"/>
      <c r="C393" s="9"/>
      <c r="D393" s="9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 x14ac:dyDescent="0.35">
      <c r="A394" s="6"/>
      <c r="B394" s="6"/>
      <c r="C394" s="9"/>
      <c r="D394" s="9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 x14ac:dyDescent="0.35">
      <c r="A395" s="6"/>
      <c r="B395" s="6"/>
      <c r="C395" s="9"/>
      <c r="D395" s="9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 x14ac:dyDescent="0.35">
      <c r="A396" s="6"/>
      <c r="B396" s="6"/>
      <c r="C396" s="9"/>
      <c r="D396" s="9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 x14ac:dyDescent="0.35">
      <c r="A397" s="6"/>
      <c r="B397" s="6"/>
      <c r="C397" s="9"/>
      <c r="D397" s="9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 x14ac:dyDescent="0.35">
      <c r="A398" s="6"/>
      <c r="B398" s="6"/>
      <c r="C398" s="9"/>
      <c r="D398" s="9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 x14ac:dyDescent="0.35">
      <c r="A399" s="6"/>
      <c r="B399" s="6"/>
      <c r="C399" s="9"/>
      <c r="D399" s="9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 x14ac:dyDescent="0.35">
      <c r="A400" s="6"/>
      <c r="B400" s="6"/>
      <c r="C400" s="9"/>
      <c r="D400" s="9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 x14ac:dyDescent="0.35">
      <c r="A401" s="6"/>
      <c r="B401" s="6"/>
      <c r="C401" s="9"/>
      <c r="D401" s="9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 x14ac:dyDescent="0.35">
      <c r="A402" s="6"/>
      <c r="B402" s="6"/>
      <c r="C402" s="9"/>
      <c r="D402" s="9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 x14ac:dyDescent="0.35">
      <c r="A403" s="6"/>
      <c r="B403" s="6"/>
      <c r="C403" s="9"/>
      <c r="D403" s="9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 x14ac:dyDescent="0.35">
      <c r="A404" s="6"/>
      <c r="B404" s="6"/>
      <c r="C404" s="9"/>
      <c r="D404" s="9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 x14ac:dyDescent="0.35">
      <c r="A405" s="6"/>
      <c r="B405" s="6"/>
      <c r="C405" s="9"/>
      <c r="D405" s="9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 x14ac:dyDescent="0.35">
      <c r="A406" s="6"/>
      <c r="B406" s="6"/>
      <c r="C406" s="9"/>
      <c r="D406" s="9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 x14ac:dyDescent="0.35">
      <c r="A407" s="6"/>
      <c r="B407" s="6"/>
      <c r="C407" s="9"/>
      <c r="D407" s="9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 x14ac:dyDescent="0.35">
      <c r="A408" s="6"/>
      <c r="B408" s="6"/>
      <c r="C408" s="9"/>
      <c r="D408" s="9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 x14ac:dyDescent="0.35">
      <c r="A409" s="6"/>
      <c r="B409" s="6"/>
      <c r="C409" s="9"/>
      <c r="D409" s="9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 x14ac:dyDescent="0.35">
      <c r="A410" s="6"/>
      <c r="B410" s="6"/>
      <c r="C410" s="9"/>
      <c r="D410" s="9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 x14ac:dyDescent="0.35">
      <c r="A411" s="6"/>
      <c r="B411" s="6"/>
      <c r="C411" s="9"/>
      <c r="D411" s="9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 x14ac:dyDescent="0.35">
      <c r="A412" s="6"/>
      <c r="B412" s="6"/>
      <c r="C412" s="9"/>
      <c r="D412" s="9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 x14ac:dyDescent="0.35">
      <c r="A413" s="6"/>
      <c r="B413" s="6"/>
      <c r="C413" s="9"/>
      <c r="D413" s="9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 x14ac:dyDescent="0.35">
      <c r="A414" s="6"/>
      <c r="B414" s="6"/>
      <c r="C414" s="9"/>
      <c r="D414" s="9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 x14ac:dyDescent="0.35">
      <c r="A415" s="6"/>
      <c r="B415" s="6"/>
      <c r="C415" s="9"/>
      <c r="D415" s="9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 x14ac:dyDescent="0.35">
      <c r="A416" s="6"/>
      <c r="B416" s="6"/>
      <c r="C416" s="9"/>
      <c r="D416" s="9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 x14ac:dyDescent="0.35">
      <c r="A417" s="6"/>
      <c r="B417" s="6"/>
      <c r="C417" s="9"/>
      <c r="D417" s="9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 x14ac:dyDescent="0.35">
      <c r="A418" s="6"/>
      <c r="B418" s="6"/>
      <c r="C418" s="9"/>
      <c r="D418" s="9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 x14ac:dyDescent="0.35">
      <c r="A419" s="6"/>
      <c r="B419" s="6"/>
      <c r="C419" s="9"/>
      <c r="D419" s="9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 x14ac:dyDescent="0.35">
      <c r="A420" s="6"/>
      <c r="B420" s="6"/>
      <c r="C420" s="9"/>
      <c r="D420" s="9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 x14ac:dyDescent="0.35">
      <c r="A421" s="6"/>
      <c r="B421" s="6"/>
      <c r="C421" s="9"/>
      <c r="D421" s="9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 x14ac:dyDescent="0.35">
      <c r="A422" s="6"/>
      <c r="B422" s="6"/>
      <c r="C422" s="9"/>
      <c r="D422" s="9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 x14ac:dyDescent="0.35">
      <c r="A423" s="6"/>
      <c r="B423" s="6"/>
      <c r="C423" s="9"/>
      <c r="D423" s="9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 x14ac:dyDescent="0.35">
      <c r="A424" s="6"/>
      <c r="B424" s="6"/>
      <c r="C424" s="9"/>
      <c r="D424" s="9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 x14ac:dyDescent="0.35">
      <c r="A425" s="6"/>
      <c r="B425" s="6"/>
      <c r="C425" s="9"/>
      <c r="D425" s="9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 x14ac:dyDescent="0.35">
      <c r="A426" s="6"/>
      <c r="B426" s="6"/>
      <c r="C426" s="9"/>
      <c r="D426" s="9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 x14ac:dyDescent="0.35">
      <c r="A427" s="6"/>
      <c r="B427" s="6"/>
      <c r="C427" s="9"/>
      <c r="D427" s="9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 x14ac:dyDescent="0.35">
      <c r="A428" s="6"/>
      <c r="B428" s="6"/>
      <c r="C428" s="9"/>
      <c r="D428" s="9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 x14ac:dyDescent="0.35">
      <c r="A429" s="6"/>
      <c r="B429" s="6"/>
      <c r="C429" s="9"/>
      <c r="D429" s="9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 x14ac:dyDescent="0.35">
      <c r="A430" s="6"/>
      <c r="B430" s="6"/>
      <c r="C430" s="9"/>
      <c r="D430" s="9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 x14ac:dyDescent="0.35">
      <c r="A431" s="6"/>
      <c r="B431" s="6"/>
      <c r="C431" s="9"/>
      <c r="D431" s="9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 x14ac:dyDescent="0.35">
      <c r="A432" s="6"/>
      <c r="B432" s="6"/>
      <c r="C432" s="9"/>
      <c r="D432" s="9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 x14ac:dyDescent="0.35">
      <c r="A433" s="6"/>
      <c r="B433" s="6"/>
      <c r="C433" s="9"/>
      <c r="D433" s="9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 x14ac:dyDescent="0.35">
      <c r="A434" s="6"/>
      <c r="B434" s="6"/>
      <c r="C434" s="9"/>
      <c r="D434" s="9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 x14ac:dyDescent="0.35">
      <c r="A435" s="6"/>
      <c r="B435" s="6"/>
      <c r="C435" s="9"/>
      <c r="D435" s="9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 x14ac:dyDescent="0.35">
      <c r="A436" s="6"/>
      <c r="B436" s="6"/>
      <c r="C436" s="9"/>
      <c r="D436" s="9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 x14ac:dyDescent="0.35">
      <c r="A437" s="6"/>
      <c r="B437" s="6"/>
      <c r="C437" s="9"/>
      <c r="D437" s="9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 x14ac:dyDescent="0.35">
      <c r="A438" s="6"/>
      <c r="B438" s="6"/>
      <c r="C438" s="9"/>
      <c r="D438" s="9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 x14ac:dyDescent="0.35">
      <c r="A439" s="6"/>
      <c r="B439" s="6"/>
      <c r="C439" s="9"/>
      <c r="D439" s="9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 x14ac:dyDescent="0.35">
      <c r="A440" s="6"/>
      <c r="B440" s="6"/>
      <c r="C440" s="9"/>
      <c r="D440" s="9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 x14ac:dyDescent="0.35">
      <c r="A441" s="6"/>
      <c r="B441" s="6"/>
      <c r="C441" s="9"/>
      <c r="D441" s="9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 x14ac:dyDescent="0.35">
      <c r="A442" s="6"/>
      <c r="B442" s="6"/>
      <c r="C442" s="9"/>
      <c r="D442" s="9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 x14ac:dyDescent="0.35">
      <c r="A443" s="6"/>
      <c r="B443" s="6"/>
      <c r="C443" s="9"/>
      <c r="D443" s="9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 x14ac:dyDescent="0.35">
      <c r="A444" s="6"/>
      <c r="B444" s="6"/>
      <c r="C444" s="9"/>
      <c r="D444" s="9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 x14ac:dyDescent="0.35">
      <c r="A445" s="6"/>
      <c r="B445" s="6"/>
      <c r="C445" s="9"/>
      <c r="D445" s="9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 x14ac:dyDescent="0.35">
      <c r="A446" s="6"/>
      <c r="B446" s="6"/>
      <c r="C446" s="9"/>
      <c r="D446" s="9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 x14ac:dyDescent="0.35">
      <c r="A447" s="6"/>
      <c r="B447" s="6"/>
      <c r="C447" s="9"/>
      <c r="D447" s="9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 x14ac:dyDescent="0.35">
      <c r="A448" s="6"/>
      <c r="B448" s="6"/>
      <c r="C448" s="9"/>
      <c r="D448" s="9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 x14ac:dyDescent="0.35">
      <c r="A449" s="6"/>
      <c r="B449" s="6"/>
      <c r="C449" s="9"/>
      <c r="D449" s="9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 x14ac:dyDescent="0.35">
      <c r="A450" s="6"/>
      <c r="B450" s="6"/>
      <c r="C450" s="9"/>
      <c r="D450" s="9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 x14ac:dyDescent="0.35">
      <c r="A451" s="6"/>
      <c r="B451" s="6"/>
      <c r="C451" s="9"/>
      <c r="D451" s="9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 x14ac:dyDescent="0.35">
      <c r="A452" s="6"/>
      <c r="B452" s="6"/>
      <c r="C452" s="9"/>
      <c r="D452" s="9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 x14ac:dyDescent="0.35">
      <c r="A453" s="6"/>
      <c r="B453" s="6"/>
      <c r="C453" s="9"/>
      <c r="D453" s="9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 x14ac:dyDescent="0.35">
      <c r="A454" s="6"/>
      <c r="B454" s="6"/>
      <c r="C454" s="9"/>
      <c r="D454" s="9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 x14ac:dyDescent="0.35">
      <c r="A455" s="6"/>
      <c r="B455" s="6"/>
      <c r="C455" s="9"/>
      <c r="D455" s="9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 x14ac:dyDescent="0.35">
      <c r="A456" s="6"/>
      <c r="B456" s="6"/>
      <c r="C456" s="9"/>
      <c r="D456" s="9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 x14ac:dyDescent="0.35">
      <c r="A457" s="6"/>
      <c r="B457" s="6"/>
      <c r="C457" s="9"/>
      <c r="D457" s="9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 x14ac:dyDescent="0.35">
      <c r="A458" s="6"/>
      <c r="B458" s="6"/>
      <c r="C458" s="9"/>
      <c r="D458" s="9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 x14ac:dyDescent="0.35">
      <c r="A459" s="6"/>
      <c r="B459" s="6"/>
      <c r="C459" s="9"/>
      <c r="D459" s="9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 x14ac:dyDescent="0.35">
      <c r="A460" s="6"/>
      <c r="B460" s="6"/>
      <c r="C460" s="9"/>
      <c r="D460" s="9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 x14ac:dyDescent="0.35">
      <c r="A461" s="6"/>
      <c r="B461" s="6"/>
      <c r="C461" s="9"/>
      <c r="D461" s="9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 x14ac:dyDescent="0.35">
      <c r="A462" s="6"/>
      <c r="B462" s="6"/>
      <c r="C462" s="9"/>
      <c r="D462" s="9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 x14ac:dyDescent="0.35">
      <c r="A463" s="6"/>
      <c r="B463" s="6"/>
      <c r="C463" s="9"/>
      <c r="D463" s="9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 x14ac:dyDescent="0.35">
      <c r="A464" s="6"/>
      <c r="B464" s="6"/>
      <c r="C464" s="9"/>
      <c r="D464" s="9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 x14ac:dyDescent="0.35">
      <c r="A465" s="6"/>
      <c r="B465" s="6"/>
      <c r="C465" s="9"/>
      <c r="D465" s="9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 x14ac:dyDescent="0.35">
      <c r="A466" s="6"/>
      <c r="B466" s="6"/>
      <c r="C466" s="9"/>
      <c r="D466" s="9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 x14ac:dyDescent="0.35">
      <c r="A467" s="6"/>
      <c r="B467" s="6"/>
      <c r="C467" s="9"/>
      <c r="D467" s="9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 x14ac:dyDescent="0.35">
      <c r="A468" s="6"/>
      <c r="B468" s="6"/>
      <c r="C468" s="9"/>
      <c r="D468" s="9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 x14ac:dyDescent="0.35">
      <c r="A469" s="6"/>
      <c r="B469" s="6"/>
      <c r="C469" s="9"/>
      <c r="D469" s="9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 x14ac:dyDescent="0.35">
      <c r="A470" s="6"/>
      <c r="B470" s="6"/>
      <c r="C470" s="9"/>
      <c r="D470" s="9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 x14ac:dyDescent="0.35">
      <c r="A471" s="6"/>
      <c r="B471" s="6"/>
      <c r="C471" s="9"/>
      <c r="D471" s="9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 x14ac:dyDescent="0.35">
      <c r="A472" s="6"/>
      <c r="B472" s="6"/>
      <c r="C472" s="9"/>
      <c r="D472" s="9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 x14ac:dyDescent="0.35">
      <c r="A473" s="6"/>
      <c r="B473" s="6"/>
      <c r="C473" s="9"/>
      <c r="D473" s="9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 x14ac:dyDescent="0.35">
      <c r="A474" s="6"/>
      <c r="B474" s="6"/>
      <c r="C474" s="9"/>
      <c r="D474" s="9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 x14ac:dyDescent="0.35">
      <c r="A475" s="6"/>
      <c r="B475" s="6"/>
      <c r="C475" s="9"/>
      <c r="D475" s="9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 x14ac:dyDescent="0.35">
      <c r="A476" s="6"/>
      <c r="B476" s="6"/>
      <c r="C476" s="9"/>
      <c r="D476" s="9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 x14ac:dyDescent="0.35">
      <c r="A477" s="6"/>
      <c r="B477" s="6"/>
      <c r="C477" s="9"/>
      <c r="D477" s="9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 x14ac:dyDescent="0.35">
      <c r="A478" s="6"/>
      <c r="B478" s="6"/>
      <c r="C478" s="9"/>
      <c r="D478" s="9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 x14ac:dyDescent="0.35">
      <c r="A479" s="6"/>
      <c r="B479" s="6"/>
      <c r="C479" s="9"/>
      <c r="D479" s="9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 x14ac:dyDescent="0.35">
      <c r="A480" s="6"/>
      <c r="B480" s="6"/>
      <c r="C480" s="9"/>
      <c r="D480" s="9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 x14ac:dyDescent="0.35">
      <c r="A481" s="6"/>
      <c r="B481" s="6"/>
      <c r="C481" s="9"/>
      <c r="D481" s="9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 x14ac:dyDescent="0.35">
      <c r="A482" s="6"/>
      <c r="B482" s="6"/>
      <c r="C482" s="9"/>
      <c r="D482" s="9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 x14ac:dyDescent="0.35">
      <c r="A483" s="6"/>
      <c r="B483" s="6"/>
      <c r="C483" s="9"/>
      <c r="D483" s="9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 x14ac:dyDescent="0.35">
      <c r="A484" s="6"/>
      <c r="B484" s="6"/>
      <c r="C484" s="9"/>
      <c r="D484" s="9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 x14ac:dyDescent="0.35">
      <c r="A485" s="6"/>
      <c r="B485" s="6"/>
      <c r="C485" s="9"/>
      <c r="D485" s="9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 x14ac:dyDescent="0.35">
      <c r="A486" s="6"/>
      <c r="B486" s="6"/>
      <c r="C486" s="9"/>
      <c r="D486" s="9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 x14ac:dyDescent="0.35">
      <c r="A487" s="6"/>
      <c r="B487" s="6"/>
      <c r="C487" s="9"/>
      <c r="D487" s="9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 x14ac:dyDescent="0.35">
      <c r="A488" s="6"/>
      <c r="B488" s="6"/>
      <c r="C488" s="9"/>
      <c r="D488" s="9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 x14ac:dyDescent="0.35">
      <c r="A489" s="6"/>
      <c r="B489" s="6"/>
      <c r="C489" s="9"/>
      <c r="D489" s="9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 x14ac:dyDescent="0.35">
      <c r="A490" s="6"/>
      <c r="B490" s="6"/>
      <c r="C490" s="9"/>
      <c r="D490" s="9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 x14ac:dyDescent="0.35">
      <c r="A491" s="6"/>
      <c r="B491" s="6"/>
      <c r="C491" s="9"/>
      <c r="D491" s="9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 x14ac:dyDescent="0.35">
      <c r="A492" s="6"/>
      <c r="B492" s="6"/>
      <c r="C492" s="9"/>
      <c r="D492" s="9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 x14ac:dyDescent="0.35">
      <c r="A493" s="6"/>
      <c r="B493" s="6"/>
      <c r="C493" s="9"/>
      <c r="D493" s="9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 x14ac:dyDescent="0.35">
      <c r="A494" s="6"/>
      <c r="B494" s="6"/>
      <c r="C494" s="9"/>
      <c r="D494" s="9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 x14ac:dyDescent="0.35">
      <c r="A495" s="6"/>
      <c r="B495" s="6"/>
      <c r="C495" s="9"/>
      <c r="D495" s="9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 x14ac:dyDescent="0.35">
      <c r="A496" s="6"/>
      <c r="B496" s="6"/>
      <c r="C496" s="9"/>
      <c r="D496" s="9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 x14ac:dyDescent="0.35">
      <c r="A497" s="6"/>
      <c r="B497" s="6"/>
      <c r="C497" s="9"/>
      <c r="D497" s="9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 x14ac:dyDescent="0.35">
      <c r="A498" s="6"/>
      <c r="B498" s="6"/>
      <c r="C498" s="9"/>
      <c r="D498" s="9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 x14ac:dyDescent="0.35">
      <c r="A499" s="6"/>
      <c r="B499" s="6"/>
      <c r="C499" s="9"/>
      <c r="D499" s="9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 x14ac:dyDescent="0.35">
      <c r="A500" s="6"/>
      <c r="B500" s="6"/>
      <c r="C500" s="9"/>
      <c r="D500" s="9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 x14ac:dyDescent="0.35">
      <c r="A501" s="6"/>
      <c r="B501" s="6"/>
      <c r="C501" s="9"/>
      <c r="D501" s="9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 x14ac:dyDescent="0.35">
      <c r="A502" s="6"/>
      <c r="B502" s="6"/>
      <c r="C502" s="9"/>
      <c r="D502" s="9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 x14ac:dyDescent="0.35">
      <c r="A503" s="6"/>
      <c r="B503" s="6"/>
      <c r="C503" s="9"/>
      <c r="D503" s="9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 x14ac:dyDescent="0.35">
      <c r="A504" s="6"/>
      <c r="B504" s="6"/>
      <c r="C504" s="9"/>
      <c r="D504" s="9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 x14ac:dyDescent="0.35">
      <c r="A505" s="6"/>
      <c r="B505" s="6"/>
      <c r="C505" s="9"/>
      <c r="D505" s="9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 x14ac:dyDescent="0.35">
      <c r="A506" s="6"/>
      <c r="B506" s="6"/>
      <c r="C506" s="9"/>
      <c r="D506" s="9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 x14ac:dyDescent="0.35">
      <c r="A507" s="6"/>
      <c r="B507" s="6"/>
      <c r="C507" s="9"/>
      <c r="D507" s="9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 x14ac:dyDescent="0.35">
      <c r="A508" s="6"/>
      <c r="B508" s="6"/>
      <c r="C508" s="9"/>
      <c r="D508" s="9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 x14ac:dyDescent="0.35">
      <c r="A509" s="6"/>
      <c r="B509" s="6"/>
      <c r="C509" s="9"/>
      <c r="D509" s="9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 x14ac:dyDescent="0.35">
      <c r="A510" s="6"/>
      <c r="B510" s="6"/>
      <c r="C510" s="9"/>
      <c r="D510" s="9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 x14ac:dyDescent="0.35">
      <c r="A511" s="6"/>
      <c r="B511" s="6"/>
      <c r="C511" s="9"/>
      <c r="D511" s="9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 x14ac:dyDescent="0.35">
      <c r="A512" s="6"/>
      <c r="B512" s="6"/>
      <c r="C512" s="9"/>
      <c r="D512" s="9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 x14ac:dyDescent="0.35">
      <c r="A513" s="6"/>
      <c r="B513" s="6"/>
      <c r="C513" s="9"/>
      <c r="D513" s="9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 x14ac:dyDescent="0.35">
      <c r="A514" s="6"/>
      <c r="B514" s="6"/>
      <c r="C514" s="9"/>
      <c r="D514" s="9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 x14ac:dyDescent="0.35">
      <c r="A515" s="6"/>
      <c r="B515" s="6"/>
      <c r="C515" s="9"/>
      <c r="D515" s="9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 x14ac:dyDescent="0.35">
      <c r="A516" s="6"/>
      <c r="B516" s="6"/>
      <c r="C516" s="9"/>
      <c r="D516" s="9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 x14ac:dyDescent="0.35">
      <c r="A517" s="6"/>
      <c r="B517" s="6"/>
      <c r="C517" s="9"/>
      <c r="D517" s="9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 x14ac:dyDescent="0.35">
      <c r="A518" s="6"/>
      <c r="B518" s="6"/>
      <c r="C518" s="9"/>
      <c r="D518" s="9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 x14ac:dyDescent="0.35">
      <c r="A519" s="6"/>
      <c r="B519" s="6"/>
      <c r="C519" s="9"/>
      <c r="D519" s="9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 x14ac:dyDescent="0.35">
      <c r="A520" s="6"/>
      <c r="B520" s="6"/>
      <c r="C520" s="9"/>
      <c r="D520" s="9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 x14ac:dyDescent="0.35">
      <c r="A521" s="6"/>
      <c r="B521" s="6"/>
      <c r="C521" s="9"/>
      <c r="D521" s="9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 x14ac:dyDescent="0.35">
      <c r="A522" s="6"/>
      <c r="B522" s="6"/>
      <c r="C522" s="9"/>
      <c r="D522" s="9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 x14ac:dyDescent="0.35">
      <c r="A523" s="6"/>
      <c r="B523" s="6"/>
      <c r="C523" s="9"/>
      <c r="D523" s="9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 x14ac:dyDescent="0.35">
      <c r="A524" s="6"/>
      <c r="B524" s="6"/>
      <c r="C524" s="9"/>
      <c r="D524" s="9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 x14ac:dyDescent="0.35">
      <c r="A525" s="6"/>
      <c r="B525" s="6"/>
      <c r="C525" s="9"/>
      <c r="D525" s="9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 x14ac:dyDescent="0.35">
      <c r="A526" s="6"/>
      <c r="B526" s="6"/>
      <c r="C526" s="9"/>
      <c r="D526" s="9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 x14ac:dyDescent="0.35">
      <c r="A527" s="6"/>
      <c r="B527" s="6"/>
      <c r="C527" s="9"/>
      <c r="D527" s="9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 x14ac:dyDescent="0.35">
      <c r="A528" s="6"/>
      <c r="B528" s="6"/>
      <c r="C528" s="9"/>
      <c r="D528" s="9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 x14ac:dyDescent="0.35">
      <c r="A529" s="6"/>
      <c r="B529" s="6"/>
      <c r="C529" s="9"/>
      <c r="D529" s="9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 x14ac:dyDescent="0.35">
      <c r="A530" s="6"/>
      <c r="B530" s="6"/>
      <c r="C530" s="9"/>
      <c r="D530" s="9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 x14ac:dyDescent="0.35">
      <c r="A531" s="6"/>
      <c r="B531" s="6"/>
      <c r="C531" s="9"/>
      <c r="D531" s="9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 x14ac:dyDescent="0.35">
      <c r="A532" s="6"/>
      <c r="B532" s="6"/>
      <c r="C532" s="9"/>
      <c r="D532" s="9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 x14ac:dyDescent="0.35">
      <c r="A533" s="6"/>
      <c r="B533" s="6"/>
      <c r="C533" s="9"/>
      <c r="D533" s="9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 x14ac:dyDescent="0.35">
      <c r="A534" s="6"/>
      <c r="B534" s="6"/>
      <c r="C534" s="9"/>
      <c r="D534" s="9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 x14ac:dyDescent="0.35">
      <c r="A535" s="6"/>
      <c r="B535" s="6"/>
      <c r="C535" s="9"/>
      <c r="D535" s="9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 x14ac:dyDescent="0.35">
      <c r="A536" s="6"/>
      <c r="B536" s="6"/>
      <c r="C536" s="9"/>
      <c r="D536" s="9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 x14ac:dyDescent="0.35">
      <c r="A537" s="6"/>
      <c r="B537" s="6"/>
      <c r="C537" s="9"/>
      <c r="D537" s="9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 x14ac:dyDescent="0.35">
      <c r="A538" s="6"/>
      <c r="B538" s="6"/>
      <c r="C538" s="9"/>
      <c r="D538" s="9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 x14ac:dyDescent="0.35">
      <c r="A539" s="6"/>
      <c r="B539" s="6"/>
      <c r="C539" s="9"/>
      <c r="D539" s="9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 x14ac:dyDescent="0.35">
      <c r="A540" s="6"/>
      <c r="B540" s="6"/>
      <c r="C540" s="9"/>
      <c r="D540" s="9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 x14ac:dyDescent="0.35">
      <c r="A541" s="6"/>
      <c r="B541" s="6"/>
      <c r="C541" s="9"/>
      <c r="D541" s="9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 x14ac:dyDescent="0.35">
      <c r="A542" s="6"/>
      <c r="B542" s="6"/>
      <c r="C542" s="9"/>
      <c r="D542" s="9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 x14ac:dyDescent="0.35">
      <c r="A543" s="6"/>
      <c r="B543" s="6"/>
      <c r="C543" s="9"/>
      <c r="D543" s="9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 x14ac:dyDescent="0.35">
      <c r="A544" s="6"/>
      <c r="B544" s="6"/>
      <c r="C544" s="9"/>
      <c r="D544" s="9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 x14ac:dyDescent="0.35">
      <c r="A545" s="6"/>
      <c r="B545" s="6"/>
      <c r="C545" s="9"/>
      <c r="D545" s="9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 x14ac:dyDescent="0.35">
      <c r="A546" s="6"/>
      <c r="B546" s="6"/>
      <c r="C546" s="9"/>
      <c r="D546" s="9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 x14ac:dyDescent="0.35">
      <c r="A547" s="6"/>
      <c r="B547" s="6"/>
      <c r="C547" s="9"/>
      <c r="D547" s="9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 x14ac:dyDescent="0.35">
      <c r="A548" s="6"/>
      <c r="B548" s="6"/>
      <c r="C548" s="9"/>
      <c r="D548" s="9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 x14ac:dyDescent="0.35">
      <c r="A549" s="6"/>
      <c r="B549" s="6"/>
      <c r="C549" s="9"/>
      <c r="D549" s="9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 x14ac:dyDescent="0.35">
      <c r="A550" s="6"/>
      <c r="B550" s="6"/>
      <c r="C550" s="9"/>
      <c r="D550" s="9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 x14ac:dyDescent="0.35">
      <c r="A551" s="6"/>
      <c r="B551" s="6"/>
      <c r="C551" s="9"/>
      <c r="D551" s="9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 x14ac:dyDescent="0.35">
      <c r="A552" s="6"/>
      <c r="B552" s="6"/>
      <c r="C552" s="9"/>
      <c r="D552" s="9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 x14ac:dyDescent="0.35">
      <c r="A553" s="6"/>
      <c r="B553" s="6"/>
      <c r="C553" s="9"/>
      <c r="D553" s="9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 x14ac:dyDescent="0.35">
      <c r="A554" s="6"/>
      <c r="B554" s="6"/>
      <c r="C554" s="9"/>
      <c r="D554" s="9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 x14ac:dyDescent="0.35">
      <c r="A555" s="6"/>
      <c r="B555" s="6"/>
      <c r="C555" s="9"/>
      <c r="D555" s="9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 x14ac:dyDescent="0.35">
      <c r="A556" s="6"/>
      <c r="B556" s="6"/>
      <c r="C556" s="9"/>
      <c r="D556" s="9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 x14ac:dyDescent="0.35">
      <c r="A557" s="6"/>
      <c r="B557" s="6"/>
      <c r="C557" s="9"/>
      <c r="D557" s="9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 x14ac:dyDescent="0.35">
      <c r="A558" s="6"/>
      <c r="B558" s="6"/>
      <c r="C558" s="9"/>
      <c r="D558" s="9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 x14ac:dyDescent="0.35">
      <c r="A559" s="6"/>
      <c r="B559" s="6"/>
      <c r="C559" s="9"/>
      <c r="D559" s="9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 x14ac:dyDescent="0.35">
      <c r="A560" s="6"/>
      <c r="B560" s="6"/>
      <c r="C560" s="9"/>
      <c r="D560" s="9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 x14ac:dyDescent="0.35">
      <c r="A561" s="6"/>
      <c r="B561" s="6"/>
      <c r="C561" s="9"/>
      <c r="D561" s="9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 x14ac:dyDescent="0.35">
      <c r="A562" s="6"/>
      <c r="B562" s="6"/>
      <c r="C562" s="9"/>
      <c r="D562" s="9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 x14ac:dyDescent="0.35">
      <c r="A563" s="6"/>
      <c r="B563" s="6"/>
      <c r="C563" s="9"/>
      <c r="D563" s="9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 x14ac:dyDescent="0.35">
      <c r="A564" s="6"/>
      <c r="B564" s="6"/>
      <c r="C564" s="9"/>
      <c r="D564" s="9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 x14ac:dyDescent="0.35">
      <c r="A565" s="6"/>
      <c r="B565" s="6"/>
      <c r="C565" s="9"/>
      <c r="D565" s="9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 x14ac:dyDescent="0.35">
      <c r="A566" s="6"/>
      <c r="B566" s="6"/>
      <c r="C566" s="9"/>
      <c r="D566" s="9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 x14ac:dyDescent="0.35">
      <c r="A567" s="6"/>
      <c r="B567" s="6"/>
      <c r="C567" s="9"/>
      <c r="D567" s="9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 x14ac:dyDescent="0.35">
      <c r="A568" s="6"/>
      <c r="B568" s="6"/>
      <c r="C568" s="9"/>
      <c r="D568" s="9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 x14ac:dyDescent="0.35">
      <c r="A569" s="6"/>
      <c r="B569" s="6"/>
      <c r="C569" s="9"/>
      <c r="D569" s="9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 x14ac:dyDescent="0.35">
      <c r="A570" s="6"/>
      <c r="B570" s="6"/>
      <c r="C570" s="9"/>
      <c r="D570" s="9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 x14ac:dyDescent="0.35">
      <c r="A571" s="6"/>
      <c r="B571" s="6"/>
      <c r="C571" s="9"/>
      <c r="D571" s="9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 x14ac:dyDescent="0.35">
      <c r="A572" s="6"/>
      <c r="B572" s="6"/>
      <c r="C572" s="9"/>
      <c r="D572" s="9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 x14ac:dyDescent="0.35">
      <c r="A573" s="6"/>
      <c r="B573" s="6"/>
      <c r="C573" s="9"/>
      <c r="D573" s="9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 x14ac:dyDescent="0.35">
      <c r="A574" s="6"/>
      <c r="B574" s="6"/>
      <c r="C574" s="9"/>
      <c r="D574" s="9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 x14ac:dyDescent="0.35">
      <c r="A575" s="6"/>
      <c r="B575" s="6"/>
      <c r="C575" s="9"/>
      <c r="D575" s="9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 x14ac:dyDescent="0.35">
      <c r="A576" s="6"/>
      <c r="B576" s="6"/>
      <c r="C576" s="9"/>
      <c r="D576" s="9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 x14ac:dyDescent="0.35">
      <c r="A577" s="6"/>
      <c r="B577" s="6"/>
      <c r="C577" s="9"/>
      <c r="D577" s="9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 x14ac:dyDescent="0.35">
      <c r="A578" s="6"/>
      <c r="B578" s="6"/>
      <c r="C578" s="9"/>
      <c r="D578" s="9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 x14ac:dyDescent="0.35">
      <c r="A579" s="6"/>
      <c r="B579" s="6"/>
      <c r="C579" s="9"/>
      <c r="D579" s="9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 x14ac:dyDescent="0.35">
      <c r="A580" s="6"/>
      <c r="B580" s="6"/>
      <c r="C580" s="9"/>
      <c r="D580" s="9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 x14ac:dyDescent="0.35">
      <c r="A581" s="6"/>
      <c r="B581" s="6"/>
      <c r="C581" s="9"/>
      <c r="D581" s="9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 x14ac:dyDescent="0.35">
      <c r="A582" s="6"/>
      <c r="B582" s="6"/>
      <c r="C582" s="9"/>
      <c r="D582" s="9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 x14ac:dyDescent="0.35">
      <c r="A583" s="6"/>
      <c r="B583" s="6"/>
      <c r="C583" s="9"/>
      <c r="D583" s="9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 x14ac:dyDescent="0.35">
      <c r="A584" s="6"/>
      <c r="B584" s="6"/>
      <c r="C584" s="9"/>
      <c r="D584" s="9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 x14ac:dyDescent="0.35">
      <c r="A585" s="6"/>
      <c r="B585" s="6"/>
      <c r="C585" s="9"/>
      <c r="D585" s="9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 x14ac:dyDescent="0.35">
      <c r="A586" s="6"/>
      <c r="B586" s="6"/>
      <c r="C586" s="9"/>
      <c r="D586" s="9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 x14ac:dyDescent="0.35">
      <c r="A587" s="6"/>
      <c r="B587" s="6"/>
      <c r="C587" s="9"/>
      <c r="D587" s="9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 x14ac:dyDescent="0.35">
      <c r="A588" s="6"/>
      <c r="B588" s="6"/>
      <c r="C588" s="9"/>
      <c r="D588" s="9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 x14ac:dyDescent="0.35">
      <c r="A589" s="6"/>
      <c r="B589" s="6"/>
      <c r="C589" s="9"/>
      <c r="D589" s="9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 x14ac:dyDescent="0.35">
      <c r="A590" s="6"/>
      <c r="B590" s="6"/>
      <c r="C590" s="9"/>
      <c r="D590" s="9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 x14ac:dyDescent="0.35">
      <c r="A591" s="6"/>
      <c r="B591" s="6"/>
      <c r="C591" s="9"/>
      <c r="D591" s="9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 x14ac:dyDescent="0.35">
      <c r="A592" s="6"/>
      <c r="B592" s="6"/>
      <c r="C592" s="9"/>
      <c r="D592" s="9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 x14ac:dyDescent="0.35">
      <c r="A593" s="6"/>
      <c r="B593" s="6"/>
      <c r="C593" s="9"/>
      <c r="D593" s="9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 x14ac:dyDescent="0.35">
      <c r="A594" s="6"/>
      <c r="B594" s="6"/>
      <c r="C594" s="9"/>
      <c r="D594" s="9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 x14ac:dyDescent="0.35">
      <c r="A595" s="6"/>
      <c r="B595" s="6"/>
      <c r="C595" s="9"/>
      <c r="D595" s="9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 x14ac:dyDescent="0.35">
      <c r="A596" s="6"/>
      <c r="B596" s="6"/>
      <c r="C596" s="9"/>
      <c r="D596" s="9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 x14ac:dyDescent="0.35">
      <c r="A597" s="6"/>
      <c r="B597" s="6"/>
      <c r="C597" s="9"/>
      <c r="D597" s="9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 x14ac:dyDescent="0.35">
      <c r="A598" s="6"/>
      <c r="B598" s="6"/>
      <c r="C598" s="9"/>
      <c r="D598" s="9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 x14ac:dyDescent="0.35">
      <c r="A599" s="6"/>
      <c r="B599" s="6"/>
      <c r="C599" s="9"/>
      <c r="D599" s="9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 x14ac:dyDescent="0.35">
      <c r="A600" s="6"/>
      <c r="B600" s="6"/>
      <c r="C600" s="9"/>
      <c r="D600" s="9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 x14ac:dyDescent="0.35">
      <c r="A601" s="6"/>
      <c r="B601" s="6"/>
      <c r="C601" s="9"/>
      <c r="D601" s="9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 x14ac:dyDescent="0.35">
      <c r="A602" s="6"/>
      <c r="B602" s="6"/>
      <c r="C602" s="9"/>
      <c r="D602" s="9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 x14ac:dyDescent="0.35">
      <c r="A603" s="6"/>
      <c r="B603" s="6"/>
      <c r="C603" s="9"/>
      <c r="D603" s="9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 x14ac:dyDescent="0.35">
      <c r="A604" s="6"/>
      <c r="B604" s="6"/>
      <c r="C604" s="9"/>
      <c r="D604" s="9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 x14ac:dyDescent="0.35">
      <c r="A605" s="6"/>
      <c r="B605" s="6"/>
      <c r="C605" s="9"/>
      <c r="D605" s="9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 x14ac:dyDescent="0.35">
      <c r="A606" s="6"/>
      <c r="B606" s="6"/>
      <c r="C606" s="9"/>
      <c r="D606" s="9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 x14ac:dyDescent="0.35">
      <c r="A607" s="6"/>
      <c r="B607" s="6"/>
      <c r="C607" s="9"/>
      <c r="D607" s="9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 x14ac:dyDescent="0.35">
      <c r="A608" s="6"/>
      <c r="B608" s="6"/>
      <c r="C608" s="9"/>
      <c r="D608" s="9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 x14ac:dyDescent="0.35">
      <c r="A609" s="6"/>
      <c r="B609" s="6"/>
      <c r="C609" s="9"/>
      <c r="D609" s="9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 x14ac:dyDescent="0.35">
      <c r="A610" s="6"/>
      <c r="B610" s="6"/>
      <c r="C610" s="9"/>
      <c r="D610" s="9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 x14ac:dyDescent="0.35">
      <c r="A611" s="6"/>
      <c r="B611" s="6"/>
      <c r="C611" s="9"/>
      <c r="D611" s="9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 x14ac:dyDescent="0.35">
      <c r="A612" s="6"/>
      <c r="B612" s="6"/>
      <c r="C612" s="9"/>
      <c r="D612" s="9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 x14ac:dyDescent="0.35">
      <c r="A613" s="6"/>
      <c r="B613" s="6"/>
      <c r="C613" s="9"/>
      <c r="D613" s="9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 x14ac:dyDescent="0.35">
      <c r="A614" s="6"/>
      <c r="B614" s="6"/>
      <c r="C614" s="9"/>
      <c r="D614" s="9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 x14ac:dyDescent="0.35">
      <c r="A615" s="6"/>
      <c r="B615" s="6"/>
      <c r="C615" s="9"/>
      <c r="D615" s="9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 x14ac:dyDescent="0.35">
      <c r="A616" s="6"/>
      <c r="B616" s="6"/>
      <c r="C616" s="9"/>
      <c r="D616" s="9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 x14ac:dyDescent="0.35">
      <c r="A617" s="6"/>
      <c r="B617" s="6"/>
      <c r="C617" s="9"/>
      <c r="D617" s="9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 x14ac:dyDescent="0.35">
      <c r="A618" s="6"/>
      <c r="B618" s="6"/>
      <c r="C618" s="9"/>
      <c r="D618" s="9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 x14ac:dyDescent="0.35">
      <c r="A619" s="6"/>
      <c r="B619" s="6"/>
      <c r="C619" s="9"/>
      <c r="D619" s="9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 x14ac:dyDescent="0.35">
      <c r="A620" s="6"/>
      <c r="B620" s="6"/>
      <c r="C620" s="9"/>
      <c r="D620" s="9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 x14ac:dyDescent="0.35">
      <c r="A621" s="6"/>
      <c r="B621" s="6"/>
      <c r="C621" s="9"/>
      <c r="D621" s="9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 x14ac:dyDescent="0.35">
      <c r="A622" s="6"/>
      <c r="B622" s="6"/>
      <c r="C622" s="9"/>
      <c r="D622" s="9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 x14ac:dyDescent="0.35">
      <c r="A623" s="6"/>
      <c r="B623" s="6"/>
      <c r="C623" s="9"/>
      <c r="D623" s="9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 x14ac:dyDescent="0.35">
      <c r="A624" s="6"/>
      <c r="B624" s="6"/>
      <c r="C624" s="9"/>
      <c r="D624" s="9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 x14ac:dyDescent="0.35">
      <c r="A625" s="6"/>
      <c r="B625" s="6"/>
      <c r="C625" s="9"/>
      <c r="D625" s="9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 x14ac:dyDescent="0.35">
      <c r="A626" s="6"/>
      <c r="B626" s="6"/>
      <c r="C626" s="9"/>
      <c r="D626" s="9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 x14ac:dyDescent="0.35">
      <c r="A627" s="6"/>
      <c r="B627" s="6"/>
      <c r="C627" s="9"/>
      <c r="D627" s="9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 x14ac:dyDescent="0.35">
      <c r="A628" s="6"/>
      <c r="B628" s="6"/>
      <c r="C628" s="9"/>
      <c r="D628" s="9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 x14ac:dyDescent="0.35">
      <c r="A629" s="6"/>
      <c r="B629" s="6"/>
      <c r="C629" s="9"/>
      <c r="D629" s="9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 x14ac:dyDescent="0.35">
      <c r="A630" s="6"/>
      <c r="B630" s="6"/>
      <c r="C630" s="9"/>
      <c r="D630" s="9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 x14ac:dyDescent="0.35">
      <c r="A631" s="6"/>
      <c r="B631" s="6"/>
      <c r="C631" s="9"/>
      <c r="D631" s="9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 x14ac:dyDescent="0.35">
      <c r="A632" s="6"/>
      <c r="B632" s="6"/>
      <c r="C632" s="9"/>
      <c r="D632" s="9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 x14ac:dyDescent="0.35">
      <c r="A633" s="6"/>
      <c r="B633" s="6"/>
      <c r="C633" s="9"/>
      <c r="D633" s="9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 x14ac:dyDescent="0.35">
      <c r="A634" s="6"/>
      <c r="B634" s="6"/>
      <c r="C634" s="9"/>
      <c r="D634" s="9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 x14ac:dyDescent="0.35">
      <c r="A635" s="6"/>
      <c r="B635" s="6"/>
      <c r="C635" s="9"/>
      <c r="D635" s="9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 x14ac:dyDescent="0.35">
      <c r="A636" s="6"/>
      <c r="B636" s="6"/>
      <c r="C636" s="9"/>
      <c r="D636" s="9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 x14ac:dyDescent="0.35">
      <c r="A637" s="6"/>
      <c r="B637" s="6"/>
      <c r="C637" s="9"/>
      <c r="D637" s="9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 x14ac:dyDescent="0.35">
      <c r="A638" s="6"/>
      <c r="B638" s="6"/>
      <c r="C638" s="9"/>
      <c r="D638" s="9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 x14ac:dyDescent="0.35">
      <c r="A639" s="6"/>
      <c r="B639" s="6"/>
      <c r="C639" s="9"/>
      <c r="D639" s="9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 x14ac:dyDescent="0.35">
      <c r="A640" s="6"/>
      <c r="B640" s="6"/>
      <c r="C640" s="9"/>
      <c r="D640" s="9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 x14ac:dyDescent="0.35">
      <c r="A641" s="6"/>
      <c r="B641" s="6"/>
      <c r="C641" s="9"/>
      <c r="D641" s="9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 x14ac:dyDescent="0.35">
      <c r="A642" s="6"/>
      <c r="B642" s="6"/>
      <c r="C642" s="9"/>
      <c r="D642" s="9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 x14ac:dyDescent="0.35">
      <c r="A643" s="6"/>
      <c r="B643" s="6"/>
      <c r="C643" s="9"/>
      <c r="D643" s="9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 x14ac:dyDescent="0.35">
      <c r="A644" s="6"/>
      <c r="B644" s="6"/>
      <c r="C644" s="9"/>
      <c r="D644" s="9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 x14ac:dyDescent="0.35">
      <c r="A645" s="6"/>
      <c r="B645" s="6"/>
      <c r="C645" s="9"/>
      <c r="D645" s="9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 x14ac:dyDescent="0.35">
      <c r="A646" s="6"/>
      <c r="B646" s="6"/>
      <c r="C646" s="9"/>
      <c r="D646" s="9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 x14ac:dyDescent="0.35">
      <c r="A647" s="6"/>
      <c r="B647" s="6"/>
      <c r="C647" s="9"/>
      <c r="D647" s="9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 x14ac:dyDescent="0.35">
      <c r="A648" s="6"/>
      <c r="B648" s="6"/>
      <c r="C648" s="9"/>
      <c r="D648" s="9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 x14ac:dyDescent="0.35">
      <c r="A649" s="6"/>
      <c r="B649" s="6"/>
      <c r="C649" s="9"/>
      <c r="D649" s="9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 x14ac:dyDescent="0.35">
      <c r="A650" s="6"/>
      <c r="B650" s="6"/>
      <c r="C650" s="9"/>
      <c r="D650" s="9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 x14ac:dyDescent="0.35">
      <c r="A651" s="6"/>
      <c r="B651" s="6"/>
      <c r="C651" s="9"/>
      <c r="D651" s="9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 x14ac:dyDescent="0.35">
      <c r="A652" s="6"/>
      <c r="B652" s="6"/>
      <c r="C652" s="9"/>
      <c r="D652" s="9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 x14ac:dyDescent="0.35">
      <c r="A653" s="6"/>
      <c r="B653" s="6"/>
      <c r="C653" s="9"/>
      <c r="D653" s="9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 x14ac:dyDescent="0.35">
      <c r="A654" s="6"/>
      <c r="B654" s="6"/>
      <c r="C654" s="9"/>
      <c r="D654" s="9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 x14ac:dyDescent="0.35">
      <c r="A655" s="6"/>
      <c r="B655" s="6"/>
      <c r="C655" s="9"/>
      <c r="D655" s="9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 x14ac:dyDescent="0.35">
      <c r="A656" s="6"/>
      <c r="B656" s="6"/>
      <c r="C656" s="9"/>
      <c r="D656" s="9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 x14ac:dyDescent="0.35">
      <c r="A657" s="6"/>
      <c r="B657" s="6"/>
      <c r="C657" s="9"/>
      <c r="D657" s="9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 x14ac:dyDescent="0.35">
      <c r="A658" s="6"/>
      <c r="B658" s="6"/>
      <c r="C658" s="9"/>
      <c r="D658" s="9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 x14ac:dyDescent="0.35">
      <c r="A659" s="6"/>
      <c r="B659" s="6"/>
      <c r="C659" s="9"/>
      <c r="D659" s="9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 x14ac:dyDescent="0.35">
      <c r="A660" s="6"/>
      <c r="B660" s="6"/>
      <c r="C660" s="9"/>
      <c r="D660" s="9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 x14ac:dyDescent="0.35">
      <c r="A661" s="6"/>
      <c r="B661" s="6"/>
      <c r="C661" s="9"/>
      <c r="D661" s="9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 x14ac:dyDescent="0.35">
      <c r="A662" s="6"/>
      <c r="B662" s="6"/>
      <c r="C662" s="9"/>
      <c r="D662" s="9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 x14ac:dyDescent="0.35">
      <c r="A663" s="6"/>
      <c r="B663" s="6"/>
      <c r="C663" s="9"/>
      <c r="D663" s="9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 x14ac:dyDescent="0.35">
      <c r="A664" s="6"/>
      <c r="B664" s="6"/>
      <c r="C664" s="9"/>
      <c r="D664" s="9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 x14ac:dyDescent="0.35">
      <c r="A665" s="6"/>
      <c r="B665" s="6"/>
      <c r="C665" s="9"/>
      <c r="D665" s="9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 x14ac:dyDescent="0.35">
      <c r="A666" s="6"/>
      <c r="B666" s="6"/>
      <c r="C666" s="9"/>
      <c r="D666" s="9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 x14ac:dyDescent="0.35">
      <c r="A667" s="6"/>
      <c r="B667" s="6"/>
      <c r="C667" s="9"/>
      <c r="D667" s="9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 x14ac:dyDescent="0.35">
      <c r="A668" s="6"/>
      <c r="B668" s="6"/>
      <c r="C668" s="9"/>
      <c r="D668" s="9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 x14ac:dyDescent="0.35">
      <c r="A669" s="6"/>
      <c r="B669" s="6"/>
      <c r="C669" s="9"/>
      <c r="D669" s="9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 x14ac:dyDescent="0.35">
      <c r="A670" s="6"/>
      <c r="B670" s="6"/>
      <c r="C670" s="9"/>
      <c r="D670" s="9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 x14ac:dyDescent="0.35">
      <c r="A671" s="6"/>
      <c r="B671" s="6"/>
      <c r="C671" s="9"/>
      <c r="D671" s="9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 x14ac:dyDescent="0.35">
      <c r="A672" s="6"/>
      <c r="B672" s="6"/>
      <c r="C672" s="9"/>
      <c r="D672" s="9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 x14ac:dyDescent="0.35">
      <c r="A673" s="6"/>
      <c r="B673" s="6"/>
      <c r="C673" s="9"/>
      <c r="D673" s="9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 x14ac:dyDescent="0.35">
      <c r="A674" s="6"/>
      <c r="B674" s="6"/>
      <c r="C674" s="9"/>
      <c r="D674" s="9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 x14ac:dyDescent="0.35">
      <c r="A675" s="6"/>
      <c r="B675" s="6"/>
      <c r="C675" s="9"/>
      <c r="D675" s="9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 x14ac:dyDescent="0.35">
      <c r="A676" s="6"/>
      <c r="B676" s="6"/>
      <c r="C676" s="9"/>
      <c r="D676" s="9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 x14ac:dyDescent="0.35">
      <c r="A677" s="6"/>
      <c r="B677" s="6"/>
      <c r="C677" s="9"/>
      <c r="D677" s="9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 x14ac:dyDescent="0.35">
      <c r="A678" s="6"/>
      <c r="B678" s="6"/>
      <c r="C678" s="9"/>
      <c r="D678" s="9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 x14ac:dyDescent="0.35">
      <c r="A679" s="6"/>
      <c r="B679" s="6"/>
      <c r="C679" s="9"/>
      <c r="D679" s="9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 x14ac:dyDescent="0.35">
      <c r="A680" s="6"/>
      <c r="B680" s="6"/>
      <c r="C680" s="9"/>
      <c r="D680" s="9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 x14ac:dyDescent="0.35">
      <c r="A681" s="6"/>
      <c r="B681" s="6"/>
      <c r="C681" s="9"/>
      <c r="D681" s="9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 x14ac:dyDescent="0.35">
      <c r="A682" s="6"/>
      <c r="B682" s="6"/>
      <c r="C682" s="9"/>
      <c r="D682" s="9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 x14ac:dyDescent="0.35">
      <c r="A683" s="6"/>
      <c r="B683" s="6"/>
      <c r="C683" s="9"/>
      <c r="D683" s="9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 x14ac:dyDescent="0.35">
      <c r="A684" s="6"/>
      <c r="B684" s="6"/>
      <c r="C684" s="9"/>
      <c r="D684" s="9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 x14ac:dyDescent="0.35">
      <c r="A685" s="6"/>
      <c r="B685" s="6"/>
      <c r="C685" s="9"/>
      <c r="D685" s="9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 x14ac:dyDescent="0.35">
      <c r="A686" s="6"/>
      <c r="B686" s="6"/>
      <c r="C686" s="9"/>
      <c r="D686" s="9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 x14ac:dyDescent="0.35">
      <c r="A687" s="6"/>
      <c r="B687" s="6"/>
      <c r="C687" s="9"/>
      <c r="D687" s="9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 x14ac:dyDescent="0.35">
      <c r="A688" s="6"/>
      <c r="B688" s="6"/>
      <c r="C688" s="9"/>
      <c r="D688" s="9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 x14ac:dyDescent="0.35">
      <c r="A689" s="6"/>
      <c r="B689" s="6"/>
      <c r="C689" s="9"/>
      <c r="D689" s="9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 x14ac:dyDescent="0.35">
      <c r="A690" s="6"/>
      <c r="B690" s="6"/>
      <c r="C690" s="9"/>
      <c r="D690" s="9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 x14ac:dyDescent="0.35">
      <c r="A691" s="6"/>
      <c r="B691" s="6"/>
      <c r="C691" s="9"/>
      <c r="D691" s="9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 x14ac:dyDescent="0.35">
      <c r="A692" s="6"/>
      <c r="B692" s="6"/>
      <c r="C692" s="9"/>
      <c r="D692" s="9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 x14ac:dyDescent="0.35">
      <c r="A693" s="6"/>
      <c r="B693" s="6"/>
      <c r="C693" s="9"/>
      <c r="D693" s="9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 x14ac:dyDescent="0.35">
      <c r="A694" s="6"/>
      <c r="B694" s="6"/>
      <c r="C694" s="9"/>
      <c r="D694" s="9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 x14ac:dyDescent="0.35">
      <c r="A695" s="6"/>
      <c r="B695" s="6"/>
      <c r="C695" s="9"/>
      <c r="D695" s="9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 x14ac:dyDescent="0.35">
      <c r="A696" s="6"/>
      <c r="B696" s="6"/>
      <c r="C696" s="9"/>
      <c r="D696" s="9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 x14ac:dyDescent="0.35">
      <c r="A697" s="6"/>
      <c r="B697" s="6"/>
      <c r="C697" s="9"/>
      <c r="D697" s="9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 x14ac:dyDescent="0.35">
      <c r="A698" s="6"/>
      <c r="B698" s="6"/>
      <c r="C698" s="9"/>
      <c r="D698" s="9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 x14ac:dyDescent="0.35">
      <c r="A699" s="6"/>
      <c r="B699" s="6"/>
      <c r="C699" s="9"/>
      <c r="D699" s="9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 x14ac:dyDescent="0.35">
      <c r="A700" s="6"/>
      <c r="B700" s="6"/>
      <c r="C700" s="9"/>
      <c r="D700" s="9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 x14ac:dyDescent="0.35">
      <c r="A701" s="6"/>
      <c r="B701" s="6"/>
      <c r="C701" s="9"/>
      <c r="D701" s="9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 x14ac:dyDescent="0.35">
      <c r="A702" s="6"/>
      <c r="B702" s="6"/>
      <c r="C702" s="9"/>
      <c r="D702" s="9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 x14ac:dyDescent="0.35">
      <c r="A703" s="6"/>
      <c r="B703" s="6"/>
      <c r="C703" s="9"/>
      <c r="D703" s="9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 x14ac:dyDescent="0.35">
      <c r="A704" s="6"/>
      <c r="B704" s="6"/>
      <c r="C704" s="9"/>
      <c r="D704" s="9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 x14ac:dyDescent="0.35">
      <c r="A705" s="6"/>
      <c r="B705" s="6"/>
      <c r="C705" s="9"/>
      <c r="D705" s="9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 x14ac:dyDescent="0.35">
      <c r="A706" s="6"/>
      <c r="B706" s="6"/>
      <c r="C706" s="9"/>
      <c r="D706" s="9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 x14ac:dyDescent="0.35">
      <c r="A707" s="6"/>
      <c r="B707" s="6"/>
      <c r="C707" s="9"/>
      <c r="D707" s="9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 x14ac:dyDescent="0.35">
      <c r="A708" s="6"/>
      <c r="B708" s="6"/>
      <c r="C708" s="9"/>
      <c r="D708" s="9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 x14ac:dyDescent="0.35">
      <c r="A709" s="6"/>
      <c r="B709" s="6"/>
      <c r="C709" s="9"/>
      <c r="D709" s="9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 x14ac:dyDescent="0.35">
      <c r="A710" s="6"/>
      <c r="B710" s="6"/>
      <c r="C710" s="9"/>
      <c r="D710" s="9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 x14ac:dyDescent="0.35">
      <c r="A711" s="6"/>
      <c r="B711" s="6"/>
      <c r="C711" s="9"/>
      <c r="D711" s="9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 x14ac:dyDescent="0.35">
      <c r="A712" s="6"/>
      <c r="B712" s="6"/>
      <c r="C712" s="9"/>
      <c r="D712" s="9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 x14ac:dyDescent="0.35">
      <c r="A713" s="6"/>
      <c r="B713" s="6"/>
      <c r="C713" s="9"/>
      <c r="D713" s="9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 x14ac:dyDescent="0.35">
      <c r="A714" s="6"/>
      <c r="B714" s="6"/>
      <c r="C714" s="9"/>
      <c r="D714" s="9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 x14ac:dyDescent="0.35">
      <c r="A715" s="6"/>
      <c r="B715" s="6"/>
      <c r="C715" s="9"/>
      <c r="D715" s="9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 x14ac:dyDescent="0.35">
      <c r="A716" s="6"/>
      <c r="B716" s="6"/>
      <c r="C716" s="9"/>
      <c r="D716" s="9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 x14ac:dyDescent="0.35">
      <c r="A717" s="6"/>
      <c r="B717" s="6"/>
      <c r="C717" s="9"/>
      <c r="D717" s="9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 x14ac:dyDescent="0.35">
      <c r="A718" s="6"/>
      <c r="B718" s="6"/>
      <c r="C718" s="9"/>
      <c r="D718" s="9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 x14ac:dyDescent="0.35">
      <c r="A719" s="6"/>
      <c r="B719" s="6"/>
      <c r="C719" s="9"/>
      <c r="D719" s="9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 x14ac:dyDescent="0.35">
      <c r="A720" s="6"/>
      <c r="B720" s="6"/>
      <c r="C720" s="9"/>
      <c r="D720" s="9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 x14ac:dyDescent="0.35">
      <c r="A721" s="6"/>
      <c r="B721" s="6"/>
      <c r="C721" s="9"/>
      <c r="D721" s="9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 x14ac:dyDescent="0.35">
      <c r="A722" s="6"/>
      <c r="B722" s="6"/>
      <c r="C722" s="9"/>
      <c r="D722" s="9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 x14ac:dyDescent="0.35">
      <c r="A723" s="6"/>
      <c r="B723" s="6"/>
      <c r="C723" s="9"/>
      <c r="D723" s="9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 x14ac:dyDescent="0.35">
      <c r="A724" s="6"/>
      <c r="B724" s="6"/>
      <c r="C724" s="9"/>
      <c r="D724" s="9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 x14ac:dyDescent="0.35">
      <c r="A725" s="6"/>
      <c r="B725" s="6"/>
      <c r="C725" s="9"/>
      <c r="D725" s="9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 x14ac:dyDescent="0.35">
      <c r="A726" s="6"/>
      <c r="B726" s="6"/>
      <c r="C726" s="9"/>
      <c r="D726" s="9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 x14ac:dyDescent="0.35">
      <c r="A727" s="6"/>
      <c r="B727" s="6"/>
      <c r="C727" s="9"/>
      <c r="D727" s="9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 x14ac:dyDescent="0.35">
      <c r="A728" s="6"/>
      <c r="B728" s="6"/>
      <c r="C728" s="9"/>
      <c r="D728" s="9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 x14ac:dyDescent="0.35">
      <c r="A729" s="6"/>
      <c r="B729" s="6"/>
      <c r="C729" s="9"/>
      <c r="D729" s="9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 x14ac:dyDescent="0.35">
      <c r="A730" s="6"/>
      <c r="B730" s="6"/>
      <c r="C730" s="9"/>
      <c r="D730" s="9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 x14ac:dyDescent="0.35">
      <c r="A731" s="6"/>
      <c r="B731" s="6"/>
      <c r="C731" s="9"/>
      <c r="D731" s="9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 x14ac:dyDescent="0.35">
      <c r="A732" s="6"/>
      <c r="B732" s="6"/>
      <c r="C732" s="9"/>
      <c r="D732" s="9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 x14ac:dyDescent="0.35">
      <c r="A733" s="6"/>
      <c r="B733" s="6"/>
      <c r="C733" s="9"/>
      <c r="D733" s="9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 x14ac:dyDescent="0.35">
      <c r="A734" s="6"/>
      <c r="B734" s="6"/>
      <c r="C734" s="9"/>
      <c r="D734" s="9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 x14ac:dyDescent="0.35">
      <c r="A735" s="6"/>
      <c r="B735" s="6"/>
      <c r="C735" s="9"/>
      <c r="D735" s="9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 x14ac:dyDescent="0.35">
      <c r="A736" s="6"/>
      <c r="B736" s="6"/>
      <c r="C736" s="9"/>
      <c r="D736" s="9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 x14ac:dyDescent="0.35">
      <c r="A737" s="6"/>
      <c r="B737" s="6"/>
      <c r="C737" s="9"/>
      <c r="D737" s="9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 x14ac:dyDescent="0.35">
      <c r="A738" s="6"/>
      <c r="B738" s="6"/>
      <c r="C738" s="9"/>
      <c r="D738" s="9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 x14ac:dyDescent="0.35">
      <c r="A739" s="6"/>
      <c r="B739" s="6"/>
      <c r="C739" s="9"/>
      <c r="D739" s="9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 x14ac:dyDescent="0.35">
      <c r="A740" s="6"/>
      <c r="B740" s="6"/>
      <c r="C740" s="9"/>
      <c r="D740" s="9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 x14ac:dyDescent="0.35">
      <c r="A741" s="6"/>
      <c r="B741" s="6"/>
      <c r="C741" s="9"/>
      <c r="D741" s="9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 x14ac:dyDescent="0.35">
      <c r="A742" s="6"/>
      <c r="B742" s="6"/>
      <c r="C742" s="9"/>
      <c r="D742" s="9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 x14ac:dyDescent="0.35">
      <c r="A743" s="6"/>
      <c r="B743" s="6"/>
      <c r="C743" s="9"/>
      <c r="D743" s="9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 x14ac:dyDescent="0.35">
      <c r="A744" s="6"/>
      <c r="B744" s="6"/>
      <c r="C744" s="9"/>
      <c r="D744" s="9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 x14ac:dyDescent="0.35">
      <c r="A745" s="6"/>
      <c r="B745" s="6"/>
      <c r="C745" s="9"/>
      <c r="D745" s="9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 x14ac:dyDescent="0.35">
      <c r="A746" s="6"/>
      <c r="B746" s="6"/>
      <c r="C746" s="9"/>
      <c r="D746" s="9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 x14ac:dyDescent="0.35">
      <c r="A747" s="6"/>
      <c r="B747" s="6"/>
      <c r="C747" s="9"/>
      <c r="D747" s="9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 x14ac:dyDescent="0.35">
      <c r="A748" s="6"/>
      <c r="B748" s="6"/>
      <c r="C748" s="9"/>
      <c r="D748" s="9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 x14ac:dyDescent="0.35">
      <c r="A749" s="6"/>
      <c r="B749" s="6"/>
      <c r="C749" s="9"/>
      <c r="D749" s="9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 x14ac:dyDescent="0.35">
      <c r="A750" s="6"/>
      <c r="B750" s="6"/>
      <c r="C750" s="9"/>
      <c r="D750" s="9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 x14ac:dyDescent="0.35">
      <c r="A751" s="6"/>
      <c r="B751" s="6"/>
      <c r="C751" s="9"/>
      <c r="D751" s="9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 x14ac:dyDescent="0.35">
      <c r="A752" s="6"/>
      <c r="B752" s="6"/>
      <c r="C752" s="9"/>
      <c r="D752" s="9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 x14ac:dyDescent="0.35">
      <c r="A753" s="6"/>
      <c r="B753" s="6"/>
      <c r="C753" s="9"/>
      <c r="D753" s="9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 x14ac:dyDescent="0.35">
      <c r="A754" s="6"/>
      <c r="B754" s="6"/>
      <c r="C754" s="9"/>
      <c r="D754" s="9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 x14ac:dyDescent="0.35">
      <c r="A755" s="6"/>
      <c r="B755" s="6"/>
      <c r="C755" s="9"/>
      <c r="D755" s="9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 x14ac:dyDescent="0.35">
      <c r="A756" s="6"/>
      <c r="B756" s="6"/>
      <c r="C756" s="9"/>
      <c r="D756" s="9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 x14ac:dyDescent="0.35">
      <c r="A757" s="6"/>
      <c r="B757" s="6"/>
      <c r="C757" s="9"/>
      <c r="D757" s="9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 x14ac:dyDescent="0.35">
      <c r="A758" s="6"/>
      <c r="B758" s="6"/>
      <c r="C758" s="9"/>
      <c r="D758" s="9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 x14ac:dyDescent="0.35">
      <c r="A759" s="6"/>
      <c r="B759" s="6"/>
      <c r="C759" s="9"/>
      <c r="D759" s="9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 x14ac:dyDescent="0.35">
      <c r="A760" s="6"/>
      <c r="B760" s="6"/>
      <c r="C760" s="9"/>
      <c r="D760" s="9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 x14ac:dyDescent="0.35">
      <c r="A761" s="6"/>
      <c r="B761" s="6"/>
      <c r="C761" s="9"/>
      <c r="D761" s="9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 x14ac:dyDescent="0.35">
      <c r="A762" s="6"/>
      <c r="B762" s="6"/>
      <c r="C762" s="9"/>
      <c r="D762" s="9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 x14ac:dyDescent="0.35">
      <c r="A763" s="6"/>
      <c r="B763" s="6"/>
      <c r="C763" s="9"/>
      <c r="D763" s="9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 x14ac:dyDescent="0.35">
      <c r="A764" s="6"/>
      <c r="B764" s="6"/>
      <c r="C764" s="9"/>
      <c r="D764" s="9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 x14ac:dyDescent="0.35">
      <c r="A765" s="6"/>
      <c r="B765" s="6"/>
      <c r="C765" s="9"/>
      <c r="D765" s="9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 x14ac:dyDescent="0.35">
      <c r="A766" s="6"/>
      <c r="B766" s="6"/>
      <c r="C766" s="9"/>
      <c r="D766" s="9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 x14ac:dyDescent="0.35">
      <c r="A767" s="6"/>
      <c r="B767" s="6"/>
      <c r="C767" s="9"/>
      <c r="D767" s="9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 x14ac:dyDescent="0.35">
      <c r="A768" s="6"/>
      <c r="B768" s="6"/>
      <c r="C768" s="9"/>
      <c r="D768" s="9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 x14ac:dyDescent="0.35">
      <c r="A769" s="6"/>
      <c r="B769" s="6"/>
      <c r="C769" s="9"/>
      <c r="D769" s="9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 x14ac:dyDescent="0.35">
      <c r="A770" s="6"/>
      <c r="B770" s="6"/>
      <c r="C770" s="9"/>
      <c r="D770" s="9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 x14ac:dyDescent="0.35">
      <c r="A771" s="6"/>
      <c r="B771" s="6"/>
      <c r="C771" s="9"/>
      <c r="D771" s="9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 x14ac:dyDescent="0.35">
      <c r="A772" s="6"/>
      <c r="B772" s="6"/>
      <c r="C772" s="9"/>
      <c r="D772" s="9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 x14ac:dyDescent="0.35">
      <c r="A773" s="6"/>
      <c r="B773" s="6"/>
      <c r="C773" s="9"/>
      <c r="D773" s="9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 x14ac:dyDescent="0.35">
      <c r="A774" s="6"/>
      <c r="B774" s="6"/>
      <c r="C774" s="9"/>
      <c r="D774" s="9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 x14ac:dyDescent="0.35">
      <c r="A775" s="6"/>
      <c r="B775" s="6"/>
      <c r="C775" s="9"/>
      <c r="D775" s="9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 x14ac:dyDescent="0.35">
      <c r="A776" s="6"/>
      <c r="B776" s="6"/>
      <c r="C776" s="9"/>
      <c r="D776" s="9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 x14ac:dyDescent="0.35">
      <c r="A777" s="6"/>
      <c r="B777" s="6"/>
      <c r="C777" s="9"/>
      <c r="D777" s="9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 x14ac:dyDescent="0.35">
      <c r="A778" s="6"/>
      <c r="B778" s="6"/>
      <c r="C778" s="9"/>
      <c r="D778" s="9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 x14ac:dyDescent="0.35">
      <c r="A779" s="6"/>
      <c r="B779" s="6"/>
      <c r="C779" s="9"/>
      <c r="D779" s="9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 x14ac:dyDescent="0.35">
      <c r="A780" s="6"/>
      <c r="B780" s="6"/>
      <c r="C780" s="9"/>
      <c r="D780" s="9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 x14ac:dyDescent="0.35">
      <c r="A781" s="6"/>
      <c r="B781" s="6"/>
      <c r="C781" s="9"/>
      <c r="D781" s="9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 x14ac:dyDescent="0.35">
      <c r="A782" s="6"/>
      <c r="B782" s="6"/>
      <c r="C782" s="9"/>
      <c r="D782" s="9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 x14ac:dyDescent="0.35">
      <c r="A783" s="6"/>
      <c r="B783" s="6"/>
      <c r="C783" s="9"/>
      <c r="D783" s="9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 x14ac:dyDescent="0.35">
      <c r="A784" s="6"/>
      <c r="B784" s="6"/>
      <c r="C784" s="9"/>
      <c r="D784" s="9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 x14ac:dyDescent="0.35">
      <c r="A785" s="6"/>
      <c r="B785" s="6"/>
      <c r="C785" s="9"/>
      <c r="D785" s="9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 x14ac:dyDescent="0.35">
      <c r="A786" s="6"/>
      <c r="B786" s="6"/>
      <c r="C786" s="9"/>
      <c r="D786" s="9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 x14ac:dyDescent="0.35">
      <c r="A787" s="6"/>
      <c r="B787" s="6"/>
      <c r="C787" s="9"/>
      <c r="D787" s="9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 x14ac:dyDescent="0.35">
      <c r="A788" s="6"/>
      <c r="B788" s="6"/>
      <c r="C788" s="9"/>
      <c r="D788" s="9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 x14ac:dyDescent="0.35">
      <c r="A789" s="6"/>
      <c r="B789" s="6"/>
      <c r="C789" s="9"/>
      <c r="D789" s="9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 x14ac:dyDescent="0.35">
      <c r="A790" s="6"/>
      <c r="B790" s="6"/>
      <c r="C790" s="9"/>
      <c r="D790" s="9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 x14ac:dyDescent="0.35">
      <c r="A791" s="6"/>
      <c r="B791" s="6"/>
      <c r="C791" s="9"/>
      <c r="D791" s="9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 x14ac:dyDescent="0.35">
      <c r="A792" s="6"/>
      <c r="B792" s="6"/>
      <c r="C792" s="9"/>
      <c r="D792" s="9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 x14ac:dyDescent="0.35">
      <c r="A793" s="6"/>
      <c r="B793" s="6"/>
      <c r="C793" s="9"/>
      <c r="D793" s="9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 x14ac:dyDescent="0.35">
      <c r="A794" s="6"/>
      <c r="B794" s="6"/>
      <c r="C794" s="9"/>
      <c r="D794" s="9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 x14ac:dyDescent="0.35">
      <c r="A795" s="6"/>
      <c r="B795" s="6"/>
      <c r="C795" s="9"/>
      <c r="D795" s="9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 x14ac:dyDescent="0.35">
      <c r="A796" s="6"/>
      <c r="B796" s="6"/>
      <c r="C796" s="9"/>
      <c r="D796" s="9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 x14ac:dyDescent="0.35">
      <c r="A797" s="6"/>
      <c r="B797" s="6"/>
      <c r="C797" s="9"/>
      <c r="D797" s="9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 x14ac:dyDescent="0.35">
      <c r="A798" s="6"/>
      <c r="B798" s="6"/>
      <c r="C798" s="9"/>
      <c r="D798" s="9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 x14ac:dyDescent="0.35">
      <c r="A799" s="6"/>
      <c r="B799" s="6"/>
      <c r="C799" s="9"/>
      <c r="D799" s="9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 x14ac:dyDescent="0.35">
      <c r="A800" s="6"/>
      <c r="B800" s="6"/>
      <c r="C800" s="9"/>
      <c r="D800" s="9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 x14ac:dyDescent="0.35">
      <c r="A801" s="6"/>
      <c r="B801" s="6"/>
      <c r="C801" s="9"/>
      <c r="D801" s="9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 x14ac:dyDescent="0.35">
      <c r="A802" s="6"/>
      <c r="B802" s="6"/>
      <c r="C802" s="9"/>
      <c r="D802" s="9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 x14ac:dyDescent="0.35">
      <c r="A803" s="6"/>
      <c r="B803" s="6"/>
      <c r="C803" s="9"/>
      <c r="D803" s="9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 x14ac:dyDescent="0.35">
      <c r="A804" s="6"/>
      <c r="B804" s="6"/>
      <c r="C804" s="9"/>
      <c r="D804" s="9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 x14ac:dyDescent="0.35">
      <c r="A805" s="6"/>
      <c r="B805" s="6"/>
      <c r="C805" s="9"/>
      <c r="D805" s="9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 x14ac:dyDescent="0.35">
      <c r="A806" s="6"/>
      <c r="B806" s="6"/>
      <c r="C806" s="9"/>
      <c r="D806" s="9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 x14ac:dyDescent="0.35">
      <c r="A807" s="6"/>
      <c r="B807" s="6"/>
      <c r="C807" s="9"/>
      <c r="D807" s="9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 x14ac:dyDescent="0.35">
      <c r="A808" s="6"/>
      <c r="B808" s="6"/>
      <c r="C808" s="9"/>
      <c r="D808" s="9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 x14ac:dyDescent="0.35">
      <c r="A809" s="6"/>
      <c r="B809" s="6"/>
      <c r="C809" s="9"/>
      <c r="D809" s="9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 x14ac:dyDescent="0.35">
      <c r="A810" s="6"/>
      <c r="B810" s="6"/>
      <c r="C810" s="9"/>
      <c r="D810" s="9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 x14ac:dyDescent="0.35">
      <c r="A811" s="6"/>
      <c r="B811" s="6"/>
      <c r="C811" s="9"/>
      <c r="D811" s="9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 x14ac:dyDescent="0.35">
      <c r="A812" s="6"/>
      <c r="B812" s="6"/>
      <c r="C812" s="9"/>
      <c r="D812" s="9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 x14ac:dyDescent="0.35">
      <c r="A813" s="6"/>
      <c r="B813" s="6"/>
      <c r="C813" s="9"/>
      <c r="D813" s="9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 x14ac:dyDescent="0.35">
      <c r="A814" s="6"/>
      <c r="B814" s="6"/>
      <c r="C814" s="9"/>
      <c r="D814" s="9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 x14ac:dyDescent="0.35">
      <c r="A815" s="6"/>
      <c r="B815" s="6"/>
      <c r="C815" s="9"/>
      <c r="D815" s="9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 x14ac:dyDescent="0.35">
      <c r="A816" s="6"/>
      <c r="B816" s="6"/>
      <c r="C816" s="9"/>
      <c r="D816" s="9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 x14ac:dyDescent="0.35">
      <c r="A817" s="6"/>
      <c r="B817" s="6"/>
      <c r="C817" s="9"/>
      <c r="D817" s="9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 x14ac:dyDescent="0.35">
      <c r="A818" s="6"/>
      <c r="B818" s="6"/>
      <c r="C818" s="9"/>
      <c r="D818" s="9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 x14ac:dyDescent="0.35">
      <c r="A819" s="6"/>
      <c r="B819" s="6"/>
      <c r="C819" s="9"/>
      <c r="D819" s="9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 x14ac:dyDescent="0.35">
      <c r="A820" s="6"/>
      <c r="B820" s="6"/>
      <c r="C820" s="9"/>
      <c r="D820" s="9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 x14ac:dyDescent="0.35">
      <c r="A821" s="6"/>
      <c r="B821" s="6"/>
      <c r="C821" s="9"/>
      <c r="D821" s="9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 x14ac:dyDescent="0.35">
      <c r="A822" s="6"/>
      <c r="B822" s="6"/>
      <c r="C822" s="9"/>
      <c r="D822" s="9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 x14ac:dyDescent="0.35">
      <c r="A823" s="6"/>
      <c r="B823" s="6"/>
      <c r="C823" s="9"/>
      <c r="D823" s="9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 x14ac:dyDescent="0.35">
      <c r="A824" s="6"/>
      <c r="B824" s="6"/>
      <c r="C824" s="9"/>
      <c r="D824" s="9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 x14ac:dyDescent="0.35">
      <c r="A825" s="6"/>
      <c r="B825" s="6"/>
      <c r="C825" s="9"/>
      <c r="D825" s="9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 x14ac:dyDescent="0.35">
      <c r="A826" s="6"/>
      <c r="B826" s="6"/>
      <c r="C826" s="9"/>
      <c r="D826" s="9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 x14ac:dyDescent="0.35">
      <c r="A827" s="6"/>
      <c r="B827" s="6"/>
      <c r="C827" s="9"/>
      <c r="D827" s="9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 x14ac:dyDescent="0.35">
      <c r="A828" s="6"/>
      <c r="B828" s="6"/>
      <c r="C828" s="9"/>
      <c r="D828" s="9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 x14ac:dyDescent="0.35">
      <c r="A829" s="6"/>
      <c r="B829" s="6"/>
      <c r="C829" s="9"/>
      <c r="D829" s="9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 x14ac:dyDescent="0.35">
      <c r="A830" s="6"/>
      <c r="B830" s="6"/>
      <c r="C830" s="9"/>
      <c r="D830" s="9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 x14ac:dyDescent="0.35">
      <c r="A831" s="6"/>
      <c r="B831" s="6"/>
      <c r="C831" s="9"/>
      <c r="D831" s="9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 x14ac:dyDescent="0.35">
      <c r="A832" s="6"/>
      <c r="B832" s="6"/>
      <c r="C832" s="9"/>
      <c r="D832" s="9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 x14ac:dyDescent="0.35">
      <c r="A833" s="6"/>
      <c r="B833" s="6"/>
      <c r="C833" s="9"/>
      <c r="D833" s="9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 x14ac:dyDescent="0.35">
      <c r="A834" s="6"/>
      <c r="B834" s="6"/>
      <c r="C834" s="9"/>
      <c r="D834" s="9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 x14ac:dyDescent="0.35">
      <c r="A835" s="6"/>
      <c r="B835" s="6"/>
      <c r="C835" s="9"/>
      <c r="D835" s="9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 x14ac:dyDescent="0.35">
      <c r="A836" s="6"/>
      <c r="B836" s="6"/>
      <c r="C836" s="9"/>
      <c r="D836" s="9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 x14ac:dyDescent="0.35">
      <c r="A837" s="6"/>
      <c r="B837" s="6"/>
      <c r="C837" s="9"/>
      <c r="D837" s="9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 x14ac:dyDescent="0.35">
      <c r="A838" s="6"/>
      <c r="B838" s="6"/>
      <c r="C838" s="9"/>
      <c r="D838" s="9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 x14ac:dyDescent="0.35">
      <c r="A839" s="6"/>
      <c r="B839" s="6"/>
      <c r="C839" s="9"/>
      <c r="D839" s="9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 x14ac:dyDescent="0.35">
      <c r="A840" s="6"/>
      <c r="B840" s="6"/>
      <c r="C840" s="9"/>
      <c r="D840" s="9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 x14ac:dyDescent="0.35">
      <c r="A841" s="6"/>
      <c r="B841" s="6"/>
      <c r="C841" s="9"/>
      <c r="D841" s="9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 x14ac:dyDescent="0.35">
      <c r="A842" s="6"/>
      <c r="B842" s="6"/>
      <c r="C842" s="9"/>
      <c r="D842" s="9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 x14ac:dyDescent="0.35">
      <c r="A843" s="6"/>
      <c r="B843" s="6"/>
      <c r="C843" s="9"/>
      <c r="D843" s="9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 x14ac:dyDescent="0.35">
      <c r="A844" s="6"/>
      <c r="B844" s="6"/>
      <c r="C844" s="9"/>
      <c r="D844" s="9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 x14ac:dyDescent="0.35">
      <c r="A845" s="6"/>
      <c r="B845" s="6"/>
      <c r="C845" s="9"/>
      <c r="D845" s="9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 x14ac:dyDescent="0.35">
      <c r="A846" s="6"/>
      <c r="B846" s="6"/>
      <c r="C846" s="9"/>
      <c r="D846" s="9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 x14ac:dyDescent="0.35">
      <c r="A847" s="6"/>
      <c r="B847" s="6"/>
      <c r="C847" s="9"/>
      <c r="D847" s="9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 x14ac:dyDescent="0.35">
      <c r="A848" s="6"/>
      <c r="B848" s="6"/>
      <c r="C848" s="9"/>
      <c r="D848" s="9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 x14ac:dyDescent="0.35">
      <c r="A849" s="6"/>
      <c r="B849" s="6"/>
      <c r="C849" s="9"/>
      <c r="D849" s="9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 x14ac:dyDescent="0.35">
      <c r="A850" s="6"/>
      <c r="B850" s="6"/>
      <c r="C850" s="9"/>
      <c r="D850" s="9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 x14ac:dyDescent="0.35">
      <c r="A851" s="6"/>
      <c r="B851" s="6"/>
      <c r="C851" s="9"/>
      <c r="D851" s="9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 x14ac:dyDescent="0.35">
      <c r="A852" s="6"/>
      <c r="B852" s="6"/>
      <c r="C852" s="9"/>
      <c r="D852" s="9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 x14ac:dyDescent="0.35">
      <c r="A853" s="6"/>
      <c r="B853" s="6"/>
      <c r="C853" s="9"/>
      <c r="D853" s="9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 x14ac:dyDescent="0.35">
      <c r="A854" s="6"/>
      <c r="B854" s="6"/>
      <c r="C854" s="9"/>
      <c r="D854" s="9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 x14ac:dyDescent="0.35">
      <c r="A855" s="6"/>
      <c r="B855" s="6"/>
      <c r="C855" s="9"/>
      <c r="D855" s="9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 x14ac:dyDescent="0.35">
      <c r="A856" s="6"/>
      <c r="B856" s="6"/>
      <c r="C856" s="9"/>
      <c r="D856" s="9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 x14ac:dyDescent="0.35">
      <c r="A857" s="6"/>
      <c r="B857" s="6"/>
      <c r="C857" s="9"/>
      <c r="D857" s="9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 x14ac:dyDescent="0.35">
      <c r="A858" s="6"/>
      <c r="B858" s="6"/>
      <c r="C858" s="9"/>
      <c r="D858" s="9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 x14ac:dyDescent="0.35">
      <c r="A859" s="6"/>
      <c r="B859" s="6"/>
      <c r="C859" s="9"/>
      <c r="D859" s="9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 x14ac:dyDescent="0.35">
      <c r="A860" s="6"/>
      <c r="B860" s="6"/>
      <c r="C860" s="9"/>
      <c r="D860" s="9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 x14ac:dyDescent="0.35">
      <c r="A861" s="6"/>
      <c r="B861" s="6"/>
      <c r="C861" s="9"/>
      <c r="D861" s="9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 x14ac:dyDescent="0.35">
      <c r="A862" s="6"/>
      <c r="B862" s="6"/>
      <c r="C862" s="9"/>
      <c r="D862" s="9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 x14ac:dyDescent="0.35">
      <c r="A863" s="6"/>
      <c r="B863" s="6"/>
      <c r="C863" s="9"/>
      <c r="D863" s="9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 x14ac:dyDescent="0.35">
      <c r="A864" s="6"/>
      <c r="B864" s="6"/>
      <c r="C864" s="9"/>
      <c r="D864" s="9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 x14ac:dyDescent="0.35">
      <c r="A865" s="6"/>
      <c r="B865" s="6"/>
      <c r="C865" s="9"/>
      <c r="D865" s="9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 x14ac:dyDescent="0.35">
      <c r="A866" s="6"/>
      <c r="B866" s="6"/>
      <c r="C866" s="9"/>
      <c r="D866" s="9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 x14ac:dyDescent="0.35">
      <c r="A867" s="6"/>
      <c r="B867" s="6"/>
      <c r="C867" s="9"/>
      <c r="D867" s="9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 x14ac:dyDescent="0.35">
      <c r="A868" s="6"/>
      <c r="B868" s="6"/>
      <c r="C868" s="9"/>
      <c r="D868" s="9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 x14ac:dyDescent="0.35">
      <c r="A869" s="6"/>
      <c r="B869" s="6"/>
      <c r="C869" s="9"/>
      <c r="D869" s="9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 x14ac:dyDescent="0.35">
      <c r="A870" s="6"/>
      <c r="B870" s="6"/>
      <c r="C870" s="9"/>
      <c r="D870" s="9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 x14ac:dyDescent="0.35">
      <c r="A871" s="6"/>
      <c r="B871" s="6"/>
      <c r="C871" s="9"/>
      <c r="D871" s="9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 x14ac:dyDescent="0.35">
      <c r="A872" s="6"/>
      <c r="B872" s="6"/>
      <c r="C872" s="9"/>
      <c r="D872" s="9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 x14ac:dyDescent="0.35">
      <c r="A873" s="6"/>
      <c r="B873" s="6"/>
      <c r="C873" s="9"/>
      <c r="D873" s="9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 x14ac:dyDescent="0.35">
      <c r="A874" s="6"/>
      <c r="B874" s="6"/>
      <c r="C874" s="9"/>
      <c r="D874" s="9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 x14ac:dyDescent="0.35">
      <c r="A875" s="6"/>
      <c r="B875" s="6"/>
      <c r="C875" s="9"/>
      <c r="D875" s="9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 x14ac:dyDescent="0.35">
      <c r="A876" s="6"/>
      <c r="B876" s="6"/>
      <c r="C876" s="9"/>
      <c r="D876" s="9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 x14ac:dyDescent="0.35">
      <c r="A877" s="6"/>
      <c r="B877" s="6"/>
      <c r="C877" s="9"/>
      <c r="D877" s="9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 x14ac:dyDescent="0.35">
      <c r="A878" s="6"/>
      <c r="B878" s="6"/>
      <c r="C878" s="9"/>
      <c r="D878" s="9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 x14ac:dyDescent="0.35">
      <c r="A879" s="6"/>
      <c r="B879" s="6"/>
      <c r="C879" s="9"/>
      <c r="D879" s="9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 x14ac:dyDescent="0.35">
      <c r="A880" s="6"/>
      <c r="B880" s="6"/>
      <c r="C880" s="9"/>
      <c r="D880" s="9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 x14ac:dyDescent="0.35">
      <c r="A881" s="6"/>
      <c r="B881" s="6"/>
      <c r="C881" s="9"/>
      <c r="D881" s="9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 x14ac:dyDescent="0.35">
      <c r="A882" s="6"/>
      <c r="B882" s="6"/>
      <c r="C882" s="9"/>
      <c r="D882" s="9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 x14ac:dyDescent="0.35">
      <c r="A883" s="6"/>
      <c r="B883" s="6"/>
      <c r="C883" s="9"/>
      <c r="D883" s="9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 x14ac:dyDescent="0.35">
      <c r="A884" s="6"/>
      <c r="B884" s="6"/>
      <c r="C884" s="9"/>
      <c r="D884" s="9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 x14ac:dyDescent="0.35">
      <c r="A885" s="6"/>
      <c r="B885" s="6"/>
      <c r="C885" s="9"/>
      <c r="D885" s="9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 x14ac:dyDescent="0.35">
      <c r="A886" s="6"/>
      <c r="B886" s="6"/>
      <c r="C886" s="9"/>
      <c r="D886" s="9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 x14ac:dyDescent="0.35">
      <c r="A887" s="6"/>
      <c r="B887" s="6"/>
      <c r="C887" s="9"/>
      <c r="D887" s="9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 x14ac:dyDescent="0.35">
      <c r="A888" s="6"/>
      <c r="B888" s="6"/>
      <c r="C888" s="9"/>
      <c r="D888" s="9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 x14ac:dyDescent="0.35">
      <c r="A889" s="6"/>
      <c r="B889" s="6"/>
      <c r="C889" s="9"/>
      <c r="D889" s="9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 x14ac:dyDescent="0.35">
      <c r="A890" s="6"/>
      <c r="B890" s="6"/>
      <c r="C890" s="9"/>
      <c r="D890" s="9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 x14ac:dyDescent="0.35">
      <c r="A891" s="6"/>
      <c r="B891" s="6"/>
      <c r="C891" s="9"/>
      <c r="D891" s="9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 x14ac:dyDescent="0.35">
      <c r="A892" s="6"/>
      <c r="B892" s="6"/>
      <c r="C892" s="9"/>
      <c r="D892" s="9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 x14ac:dyDescent="0.35">
      <c r="A893" s="6"/>
      <c r="B893" s="6"/>
      <c r="C893" s="9"/>
      <c r="D893" s="9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 x14ac:dyDescent="0.35">
      <c r="A894" s="6"/>
      <c r="B894" s="6"/>
      <c r="C894" s="9"/>
      <c r="D894" s="9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 x14ac:dyDescent="0.35">
      <c r="A895" s="6"/>
      <c r="B895" s="6"/>
      <c r="C895" s="9"/>
      <c r="D895" s="9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 x14ac:dyDescent="0.35">
      <c r="A896" s="6"/>
      <c r="B896" s="6"/>
      <c r="C896" s="9"/>
      <c r="D896" s="9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 x14ac:dyDescent="0.35">
      <c r="A897" s="6"/>
      <c r="B897" s="6"/>
      <c r="C897" s="9"/>
      <c r="D897" s="9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 x14ac:dyDescent="0.35">
      <c r="A898" s="6"/>
      <c r="B898" s="6"/>
      <c r="C898" s="9"/>
      <c r="D898" s="9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 x14ac:dyDescent="0.35">
      <c r="A899" s="6"/>
      <c r="B899" s="6"/>
      <c r="C899" s="9"/>
      <c r="D899" s="9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 x14ac:dyDescent="0.35">
      <c r="A900" s="6"/>
      <c r="B900" s="6"/>
      <c r="C900" s="9"/>
      <c r="D900" s="9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 x14ac:dyDescent="0.35">
      <c r="A901" s="6"/>
      <c r="B901" s="6"/>
      <c r="C901" s="9"/>
      <c r="D901" s="9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 x14ac:dyDescent="0.35">
      <c r="A902" s="6"/>
      <c r="B902" s="6"/>
      <c r="C902" s="9"/>
      <c r="D902" s="9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 x14ac:dyDescent="0.35">
      <c r="A903" s="6"/>
      <c r="B903" s="6"/>
      <c r="C903" s="9"/>
      <c r="D903" s="9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 x14ac:dyDescent="0.35">
      <c r="A904" s="6"/>
      <c r="B904" s="6"/>
      <c r="C904" s="9"/>
      <c r="D904" s="9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 x14ac:dyDescent="0.35">
      <c r="A905" s="6"/>
      <c r="B905" s="6"/>
      <c r="C905" s="9"/>
      <c r="D905" s="9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 x14ac:dyDescent="0.35">
      <c r="A906" s="6"/>
      <c r="B906" s="6"/>
      <c r="C906" s="9"/>
      <c r="D906" s="9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 x14ac:dyDescent="0.35">
      <c r="A907" s="6"/>
      <c r="B907" s="6"/>
      <c r="C907" s="9"/>
      <c r="D907" s="9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 x14ac:dyDescent="0.35">
      <c r="A908" s="6"/>
      <c r="B908" s="6"/>
      <c r="C908" s="9"/>
      <c r="D908" s="9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 x14ac:dyDescent="0.35">
      <c r="A909" s="6"/>
      <c r="B909" s="6"/>
      <c r="C909" s="9"/>
      <c r="D909" s="9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 x14ac:dyDescent="0.35">
      <c r="A910" s="6"/>
      <c r="B910" s="6"/>
      <c r="C910" s="9"/>
      <c r="D910" s="9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 x14ac:dyDescent="0.35">
      <c r="A911" s="6"/>
      <c r="B911" s="6"/>
      <c r="C911" s="9"/>
      <c r="D911" s="9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 x14ac:dyDescent="0.35">
      <c r="A912" s="6"/>
      <c r="B912" s="6"/>
      <c r="C912" s="9"/>
      <c r="D912" s="9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 x14ac:dyDescent="0.35">
      <c r="A913" s="6"/>
      <c r="B913" s="6"/>
      <c r="C913" s="9"/>
      <c r="D913" s="9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 x14ac:dyDescent="0.35">
      <c r="A914" s="6"/>
      <c r="B914" s="6"/>
      <c r="C914" s="9"/>
      <c r="D914" s="9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 x14ac:dyDescent="0.35">
      <c r="A915" s="6"/>
      <c r="B915" s="6"/>
      <c r="C915" s="9"/>
      <c r="D915" s="9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 x14ac:dyDescent="0.35">
      <c r="A916" s="6"/>
      <c r="B916" s="6"/>
      <c r="C916" s="9"/>
      <c r="D916" s="9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 x14ac:dyDescent="0.35">
      <c r="A917" s="6"/>
      <c r="B917" s="6"/>
      <c r="C917" s="9"/>
      <c r="D917" s="9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 x14ac:dyDescent="0.35">
      <c r="A918" s="6"/>
      <c r="B918" s="6"/>
      <c r="C918" s="9"/>
      <c r="D918" s="9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 x14ac:dyDescent="0.35">
      <c r="A919" s="6"/>
      <c r="B919" s="6"/>
      <c r="C919" s="9"/>
      <c r="D919" s="9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 x14ac:dyDescent="0.35">
      <c r="A920" s="6"/>
      <c r="B920" s="6"/>
      <c r="C920" s="9"/>
      <c r="D920" s="9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 x14ac:dyDescent="0.35">
      <c r="A921" s="6"/>
      <c r="B921" s="6"/>
      <c r="C921" s="9"/>
      <c r="D921" s="9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 x14ac:dyDescent="0.35">
      <c r="A922" s="6"/>
      <c r="B922" s="6"/>
      <c r="C922" s="9"/>
      <c r="D922" s="9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 x14ac:dyDescent="0.35">
      <c r="A923" s="6"/>
      <c r="B923" s="6"/>
      <c r="C923" s="9"/>
      <c r="D923" s="9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 x14ac:dyDescent="0.35">
      <c r="A924" s="6"/>
      <c r="B924" s="6"/>
      <c r="C924" s="9"/>
      <c r="D924" s="9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 x14ac:dyDescent="0.35">
      <c r="A925" s="6"/>
      <c r="B925" s="6"/>
      <c r="C925" s="9"/>
      <c r="D925" s="9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 x14ac:dyDescent="0.35">
      <c r="A926" s="6"/>
      <c r="B926" s="6"/>
      <c r="C926" s="9"/>
      <c r="D926" s="9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 x14ac:dyDescent="0.35">
      <c r="A927" s="6"/>
      <c r="B927" s="6"/>
      <c r="C927" s="9"/>
      <c r="D927" s="9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 x14ac:dyDescent="0.35">
      <c r="A928" s="6"/>
      <c r="B928" s="6"/>
      <c r="C928" s="9"/>
      <c r="D928" s="9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 x14ac:dyDescent="0.35">
      <c r="A929" s="6"/>
      <c r="B929" s="6"/>
      <c r="C929" s="9"/>
      <c r="D929" s="9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 x14ac:dyDescent="0.35">
      <c r="A930" s="6"/>
      <c r="B930" s="6"/>
      <c r="C930" s="9"/>
      <c r="D930" s="9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 x14ac:dyDescent="0.35">
      <c r="A931" s="6"/>
      <c r="B931" s="6"/>
      <c r="C931" s="9"/>
      <c r="D931" s="9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 x14ac:dyDescent="0.35">
      <c r="A932" s="6"/>
      <c r="B932" s="6"/>
      <c r="C932" s="9"/>
      <c r="D932" s="9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 x14ac:dyDescent="0.35">
      <c r="A933" s="6"/>
      <c r="B933" s="6"/>
      <c r="C933" s="9"/>
      <c r="D933" s="9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 x14ac:dyDescent="0.35">
      <c r="A934" s="6"/>
      <c r="B934" s="6"/>
      <c r="C934" s="9"/>
      <c r="D934" s="9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 x14ac:dyDescent="0.35">
      <c r="A935" s="6"/>
      <c r="B935" s="6"/>
      <c r="C935" s="9"/>
      <c r="D935" s="9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 x14ac:dyDescent="0.35">
      <c r="A936" s="6"/>
      <c r="B936" s="6"/>
      <c r="C936" s="9"/>
      <c r="D936" s="9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 x14ac:dyDescent="0.35">
      <c r="A937" s="6"/>
      <c r="B937" s="6"/>
      <c r="C937" s="9"/>
      <c r="D937" s="9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 x14ac:dyDescent="0.35">
      <c r="A938" s="6"/>
      <c r="B938" s="6"/>
      <c r="C938" s="9"/>
      <c r="D938" s="9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 x14ac:dyDescent="0.35">
      <c r="A939" s="6"/>
      <c r="B939" s="6"/>
      <c r="C939" s="9"/>
      <c r="D939" s="9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 x14ac:dyDescent="0.35">
      <c r="A940" s="6"/>
      <c r="B940" s="6"/>
      <c r="C940" s="9"/>
      <c r="D940" s="9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 x14ac:dyDescent="0.35">
      <c r="A941" s="6"/>
      <c r="B941" s="6"/>
      <c r="C941" s="9"/>
      <c r="D941" s="9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 x14ac:dyDescent="0.35">
      <c r="A942" s="6"/>
      <c r="B942" s="6"/>
      <c r="C942" s="9"/>
      <c r="D942" s="9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 x14ac:dyDescent="0.35">
      <c r="A943" s="6"/>
      <c r="B943" s="6"/>
      <c r="C943" s="9"/>
      <c r="D943" s="9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 x14ac:dyDescent="0.35">
      <c r="A944" s="6"/>
      <c r="B944" s="6"/>
      <c r="C944" s="9"/>
      <c r="D944" s="9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 x14ac:dyDescent="0.35">
      <c r="A945" s="6"/>
      <c r="B945" s="6"/>
      <c r="C945" s="9"/>
      <c r="D945" s="9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 x14ac:dyDescent="0.35">
      <c r="A946" s="6"/>
      <c r="B946" s="6"/>
      <c r="C946" s="9"/>
      <c r="D946" s="9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 x14ac:dyDescent="0.35">
      <c r="A947" s="6"/>
      <c r="B947" s="6"/>
      <c r="C947" s="9"/>
      <c r="D947" s="9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 x14ac:dyDescent="0.35">
      <c r="A948" s="6"/>
      <c r="B948" s="6"/>
      <c r="C948" s="9"/>
      <c r="D948" s="9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 x14ac:dyDescent="0.35">
      <c r="A949" s="6"/>
      <c r="B949" s="6"/>
      <c r="C949" s="9"/>
      <c r="D949" s="9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 x14ac:dyDescent="0.35">
      <c r="A950" s="6"/>
      <c r="B950" s="6"/>
      <c r="C950" s="9"/>
      <c r="D950" s="9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 x14ac:dyDescent="0.35">
      <c r="A951" s="6"/>
      <c r="B951" s="6"/>
      <c r="C951" s="9"/>
      <c r="D951" s="9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 x14ac:dyDescent="0.35">
      <c r="A952" s="6"/>
      <c r="B952" s="6"/>
      <c r="C952" s="9"/>
      <c r="D952" s="9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 x14ac:dyDescent="0.35">
      <c r="A953" s="6"/>
      <c r="B953" s="6"/>
      <c r="C953" s="9"/>
      <c r="D953" s="9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 x14ac:dyDescent="0.35">
      <c r="A954" s="6"/>
      <c r="B954" s="6"/>
      <c r="C954" s="9"/>
      <c r="D954" s="9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 x14ac:dyDescent="0.35">
      <c r="A955" s="6"/>
      <c r="B955" s="6"/>
      <c r="C955" s="9"/>
      <c r="D955" s="9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 x14ac:dyDescent="0.35">
      <c r="A956" s="6"/>
      <c r="B956" s="6"/>
      <c r="C956" s="9"/>
      <c r="D956" s="9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 x14ac:dyDescent="0.35">
      <c r="A957" s="6"/>
      <c r="B957" s="6"/>
      <c r="C957" s="9"/>
      <c r="D957" s="9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 x14ac:dyDescent="0.35">
      <c r="A958" s="6"/>
      <c r="B958" s="6"/>
      <c r="C958" s="9"/>
      <c r="D958" s="9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 x14ac:dyDescent="0.35">
      <c r="A959" s="6"/>
      <c r="B959" s="6"/>
      <c r="C959" s="9"/>
      <c r="D959" s="9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 x14ac:dyDescent="0.35">
      <c r="A960" s="6"/>
      <c r="B960" s="6"/>
      <c r="C960" s="9"/>
      <c r="D960" s="9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 x14ac:dyDescent="0.35">
      <c r="A961" s="6"/>
      <c r="B961" s="6"/>
      <c r="C961" s="9"/>
      <c r="D961" s="9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 x14ac:dyDescent="0.35">
      <c r="A962" s="6"/>
      <c r="B962" s="6"/>
      <c r="C962" s="9"/>
      <c r="D962" s="9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 x14ac:dyDescent="0.35">
      <c r="A963" s="6"/>
      <c r="B963" s="6"/>
      <c r="C963" s="9"/>
      <c r="D963" s="9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 x14ac:dyDescent="0.35">
      <c r="A964" s="6"/>
      <c r="B964" s="6"/>
      <c r="C964" s="9"/>
      <c r="D964" s="9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 x14ac:dyDescent="0.35">
      <c r="A965" s="6"/>
      <c r="B965" s="6"/>
      <c r="C965" s="9"/>
      <c r="D965" s="9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 x14ac:dyDescent="0.35">
      <c r="A966" s="6"/>
      <c r="B966" s="6"/>
      <c r="C966" s="9"/>
      <c r="D966" s="9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 x14ac:dyDescent="0.35">
      <c r="A967" s="6"/>
      <c r="B967" s="6"/>
      <c r="C967" s="9"/>
      <c r="D967" s="9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 x14ac:dyDescent="0.35">
      <c r="A968" s="6"/>
      <c r="B968" s="6"/>
      <c r="C968" s="9"/>
      <c r="D968" s="9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 x14ac:dyDescent="0.35">
      <c r="A969" s="6"/>
      <c r="B969" s="6"/>
      <c r="C969" s="9"/>
      <c r="D969" s="9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 x14ac:dyDescent="0.35">
      <c r="A970" s="6"/>
      <c r="B970" s="6"/>
      <c r="C970" s="9"/>
      <c r="D970" s="9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 x14ac:dyDescent="0.35">
      <c r="A971" s="6"/>
      <c r="B971" s="6"/>
      <c r="C971" s="9"/>
      <c r="D971" s="9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 x14ac:dyDescent="0.35">
      <c r="A972" s="6"/>
      <c r="B972" s="6"/>
      <c r="C972" s="9"/>
      <c r="D972" s="9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 x14ac:dyDescent="0.35">
      <c r="A973" s="6"/>
      <c r="B973" s="6"/>
      <c r="C973" s="9"/>
      <c r="D973" s="9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 x14ac:dyDescent="0.35">
      <c r="A974" s="6"/>
      <c r="B974" s="6"/>
      <c r="C974" s="9"/>
      <c r="D974" s="9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customHeight="1" x14ac:dyDescent="0.35">
      <c r="A975" s="6"/>
      <c r="B975" s="6"/>
      <c r="C975" s="9"/>
      <c r="D975" s="9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customHeight="1" x14ac:dyDescent="0.35">
      <c r="A976" s="6"/>
      <c r="B976" s="6"/>
      <c r="C976" s="9"/>
      <c r="D976" s="9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customHeight="1" x14ac:dyDescent="0.35">
      <c r="A977" s="6"/>
      <c r="B977" s="6"/>
      <c r="C977" s="9"/>
      <c r="D977" s="9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customHeight="1" x14ac:dyDescent="0.35">
      <c r="A978" s="6"/>
      <c r="B978" s="6"/>
      <c r="C978" s="9"/>
      <c r="D978" s="9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customHeight="1" x14ac:dyDescent="0.35">
      <c r="A979" s="6"/>
      <c r="B979" s="6"/>
      <c r="C979" s="9"/>
      <c r="D979" s="9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75" customHeight="1" x14ac:dyDescent="0.35">
      <c r="A980" s="6"/>
      <c r="B980" s="6"/>
      <c r="C980" s="9"/>
      <c r="D980" s="9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75" customHeight="1" x14ac:dyDescent="0.35">
      <c r="A981" s="6"/>
      <c r="B981" s="6"/>
      <c r="C981" s="9"/>
      <c r="D981" s="9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75" customHeight="1" x14ac:dyDescent="0.35">
      <c r="A982" s="6"/>
      <c r="B982" s="6"/>
      <c r="C982" s="9"/>
      <c r="D982" s="9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75" customHeight="1" x14ac:dyDescent="0.35">
      <c r="A983" s="6"/>
      <c r="B983" s="6"/>
      <c r="C983" s="9"/>
      <c r="D983" s="9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.75" customHeight="1" x14ac:dyDescent="0.35">
      <c r="A984" s="6"/>
      <c r="B984" s="6"/>
      <c r="C984" s="9"/>
      <c r="D984" s="9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.75" customHeight="1" x14ac:dyDescent="0.35">
      <c r="A985" s="6"/>
      <c r="B985" s="6"/>
      <c r="C985" s="9"/>
      <c r="D985" s="9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5.75" customHeight="1" x14ac:dyDescent="0.35">
      <c r="A986" s="6"/>
      <c r="B986" s="6"/>
      <c r="C986" s="9"/>
      <c r="D986" s="9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5.75" customHeight="1" x14ac:dyDescent="0.35">
      <c r="A987" s="6"/>
      <c r="B987" s="6"/>
      <c r="C987" s="9"/>
      <c r="D987" s="9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5.75" customHeight="1" x14ac:dyDescent="0.35">
      <c r="A988" s="6"/>
      <c r="B988" s="6"/>
      <c r="C988" s="9"/>
      <c r="D988" s="9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5.75" customHeight="1" x14ac:dyDescent="0.35">
      <c r="A989" s="6"/>
      <c r="B989" s="6"/>
      <c r="C989" s="9"/>
      <c r="D989" s="9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5.75" customHeight="1" x14ac:dyDescent="0.35">
      <c r="A990" s="6"/>
      <c r="B990" s="6"/>
      <c r="C990" s="9"/>
      <c r="D990" s="9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5.75" customHeight="1" x14ac:dyDescent="0.35">
      <c r="A991" s="6"/>
      <c r="B991" s="6"/>
      <c r="C991" s="9"/>
      <c r="D991" s="9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5.75" customHeight="1" x14ac:dyDescent="0.35">
      <c r="A992" s="6"/>
      <c r="B992" s="6"/>
      <c r="C992" s="9"/>
      <c r="D992" s="9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5.75" customHeight="1" x14ac:dyDescent="0.35">
      <c r="A993" s="6"/>
      <c r="B993" s="6"/>
      <c r="C993" s="9"/>
      <c r="D993" s="9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5.75" customHeight="1" x14ac:dyDescent="0.35">
      <c r="A994" s="6"/>
      <c r="B994" s="6"/>
      <c r="C994" s="9"/>
      <c r="D994" s="9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5.75" customHeight="1" x14ac:dyDescent="0.35">
      <c r="A995" s="6"/>
      <c r="B995" s="6"/>
      <c r="C995" s="9"/>
      <c r="D995" s="9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5.75" customHeight="1" x14ac:dyDescent="0.35">
      <c r="A996" s="6"/>
      <c r="B996" s="6"/>
      <c r="C996" s="9"/>
      <c r="D996" s="9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5.75" customHeight="1" x14ac:dyDescent="0.35">
      <c r="A997" s="6"/>
      <c r="B997" s="6"/>
      <c r="C997" s="9"/>
      <c r="D997" s="9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5.75" customHeight="1" x14ac:dyDescent="0.35">
      <c r="A998" s="6"/>
      <c r="B998" s="6"/>
      <c r="C998" s="9"/>
      <c r="D998" s="9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5.75" customHeight="1" x14ac:dyDescent="0.35">
      <c r="A999" s="6"/>
      <c r="B999" s="6"/>
      <c r="C999" s="9"/>
      <c r="D999" s="9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5.75" customHeight="1" x14ac:dyDescent="0.35">
      <c r="A1000" s="6"/>
      <c r="B1000" s="6"/>
      <c r="C1000" s="9"/>
      <c r="D1000" s="9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honeticPr fontId="7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zoomScale="80" zoomScaleNormal="80" workbookViewId="0">
      <pane ySplit="1" topLeftCell="A2" activePane="bottomLeft" state="frozen"/>
      <selection pane="bottomLeft" activeCell="D1" sqref="D1:D1048576"/>
    </sheetView>
  </sheetViews>
  <sheetFormatPr defaultColWidth="20.6328125" defaultRowHeight="15" customHeight="1" x14ac:dyDescent="0.35"/>
  <cols>
    <col min="1" max="1" width="10.6328125" customWidth="1"/>
  </cols>
  <sheetData>
    <row r="1" spans="1:27" ht="14.5" x14ac:dyDescent="0.35">
      <c r="A1" s="1" t="s">
        <v>563</v>
      </c>
      <c r="B1" s="1" t="s">
        <v>0</v>
      </c>
      <c r="C1" s="1" t="s">
        <v>1</v>
      </c>
      <c r="D1" s="1" t="s">
        <v>1185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5" x14ac:dyDescent="0.35">
      <c r="A2" s="2" t="s">
        <v>771</v>
      </c>
      <c r="B2" s="2" t="s">
        <v>3</v>
      </c>
      <c r="C2" s="7" t="str">
        <f>HYPERLINK("https://tools.wmflabs.org/geohack/geohack.php?params=40.2156_N_28.9676_E_type:city","40.2156°N 28.9676°E")</f>
        <v>40.2156°N 28.9676°E</v>
      </c>
      <c r="D2" s="7" t="s">
        <v>1196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5" x14ac:dyDescent="0.35">
      <c r="A3" s="2" t="s">
        <v>772</v>
      </c>
      <c r="B3" s="2" t="s">
        <v>7</v>
      </c>
      <c r="C3" s="7" t="str">
        <f>HYPERLINK("https://tools.wmflabs.org/geohack/geohack.php?params=40.2214_N_28.9527_E_type:city","40.2214°N 28.9527°E")</f>
        <v>40.2214°N 28.9527°E</v>
      </c>
      <c r="D3" s="7" t="s">
        <v>1197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5" x14ac:dyDescent="0.35">
      <c r="A4" s="2" t="s">
        <v>773</v>
      </c>
      <c r="B4" s="2" t="s">
        <v>11</v>
      </c>
      <c r="C4" s="7" t="str">
        <f>HYPERLINK("https://tools.wmflabs.org/geohack/geohack.php?params=40.2458_N_28.9300_E_type:city","40.2458°N 28.9300°E")</f>
        <v>40.2458°N 28.9300°E</v>
      </c>
      <c r="D4" s="7" t="s">
        <v>1197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5" x14ac:dyDescent="0.35">
      <c r="A5" s="2" t="s">
        <v>774</v>
      </c>
      <c r="B5" s="2" t="s">
        <v>14</v>
      </c>
      <c r="C5" s="7" t="str">
        <f>HYPERLINK("https://tools.wmflabs.org/geohack/geohack.php?params=40.2475_N_28.8640_E_type:city","40.2475°N 28.8640°E")</f>
        <v>40.2475°N 28.8640°E</v>
      </c>
      <c r="D5" s="7" t="s">
        <v>1198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5" x14ac:dyDescent="0.35">
      <c r="A6" s="2" t="s">
        <v>775</v>
      </c>
      <c r="B6" s="2" t="s">
        <v>19</v>
      </c>
      <c r="C6" s="7" t="str">
        <f>HYPERLINK("https://tools.wmflabs.org/geohack/geohack.php?params=40.2226_N_28.9480_E_type:city","40.2226°N 28.9480°E")</f>
        <v>40.2226°N 28.9480°E</v>
      </c>
      <c r="D6" s="7" t="s">
        <v>1197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5" x14ac:dyDescent="0.35">
      <c r="A7" s="2" t="s">
        <v>776</v>
      </c>
      <c r="B7" s="2" t="s">
        <v>23</v>
      </c>
      <c r="C7" s="7" t="str">
        <f>HYPERLINK("https://tools.wmflabs.org/geohack/geohack.php?params=40.2048_N_28.7048_E_type:city","40.2048°N 28.7048°E")</f>
        <v>40.2048°N 28.7048°E</v>
      </c>
      <c r="D7" s="7" t="s">
        <v>1199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5" x14ac:dyDescent="0.35">
      <c r="A8" s="2" t="s">
        <v>777</v>
      </c>
      <c r="B8" s="2" t="s">
        <v>27</v>
      </c>
      <c r="C8" s="7" t="str">
        <f>HYPERLINK("https://tools.wmflabs.org/geohack/geohack.php?params=40.2045_N_28.9167_E_type:city","40.2045°N 28.9167°E")</f>
        <v>40.2045°N 28.9167°E</v>
      </c>
      <c r="D8" s="7" t="s">
        <v>1200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5" x14ac:dyDescent="0.35">
      <c r="A9" s="2" t="s">
        <v>778</v>
      </c>
      <c r="B9" s="2" t="s">
        <v>31</v>
      </c>
      <c r="C9" s="7" t="str">
        <f>HYPERLINK("https://tools.wmflabs.org/geohack/geohack.php?params=40.2248_N_28.9516_E_type:city","40.2248°N 28.9516°E")</f>
        <v>40.2248°N 28.9516°E</v>
      </c>
      <c r="D9" s="7" t="s">
        <v>1197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5" x14ac:dyDescent="0.35">
      <c r="A10" s="2" t="s">
        <v>779</v>
      </c>
      <c r="B10" s="2" t="s">
        <v>36</v>
      </c>
      <c r="C10" s="7" t="str">
        <f>HYPERLINK("https://tools.wmflabs.org/geohack/geohack.php?params=40.2132_N_28.9657_E_type:city","40.2132°N 28.9657°E")</f>
        <v>40.2132°N 28.9657°E</v>
      </c>
      <c r="D10" s="7" t="s">
        <v>1196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5" x14ac:dyDescent="0.35">
      <c r="A11" s="2" t="s">
        <v>780</v>
      </c>
      <c r="B11" s="2" t="s">
        <v>41</v>
      </c>
      <c r="C11" s="7" t="str">
        <f>HYPERLINK("https://tools.wmflabs.org/geohack/geohack.php?params=40.1704_N_28.8615_E_type:city","40.1704°N 28.8615°E")</f>
        <v>40.1704°N 28.8615°E</v>
      </c>
      <c r="D11" s="7" t="s">
        <v>1198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5" x14ac:dyDescent="0.35">
      <c r="A12" s="2" t="s">
        <v>781</v>
      </c>
      <c r="B12" s="2" t="s">
        <v>46</v>
      </c>
      <c r="C12" s="7" t="str">
        <f>HYPERLINK("https://tools.wmflabs.org/geohack/geohack.php?params=40.1392_N_28.7660_E_type:city","40.1392°N 28.7660°E")</f>
        <v>40.1392°N 28.7660°E</v>
      </c>
      <c r="D12" s="7" t="s">
        <v>1201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5" x14ac:dyDescent="0.35">
      <c r="A13" s="2" t="s">
        <v>782</v>
      </c>
      <c r="B13" s="2" t="s">
        <v>50</v>
      </c>
      <c r="C13" s="7" t="str">
        <f>HYPERLINK("https://tools.wmflabs.org/geohack/geohack.php?params=40.1730_N_28.7278_E_type:city","40.1730°N 28.7278°E")</f>
        <v>40.1730°N 28.7278°E</v>
      </c>
      <c r="D13" s="7" t="s">
        <v>1199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5" x14ac:dyDescent="0.35">
      <c r="A14" s="2" t="s">
        <v>783</v>
      </c>
      <c r="B14" s="2" t="s">
        <v>55</v>
      </c>
      <c r="C14" s="7" t="str">
        <f>HYPERLINK("https://tools.wmflabs.org/geohack/geohack.php?params=40.2240_N_28.9290_E_type:city","40.2240°N 28.9290°E")</f>
        <v>40.2240°N 28.9290°E</v>
      </c>
      <c r="D14" s="7" t="s">
        <v>1202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5" x14ac:dyDescent="0.35">
      <c r="A15" s="2" t="s">
        <v>784</v>
      </c>
      <c r="B15" s="2" t="s">
        <v>60</v>
      </c>
      <c r="C15" s="7" t="str">
        <f>HYPERLINK("https://tools.wmflabs.org/geohack/geohack.php?params=40.2195_N_28.8445_E_type:city","40.2195°N 28.8445°E")</f>
        <v>40.2195°N 28.8445°E</v>
      </c>
      <c r="D15" s="7" t="s">
        <v>1203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5" x14ac:dyDescent="0.35">
      <c r="A16" s="2" t="s">
        <v>785</v>
      </c>
      <c r="B16" s="2" t="s">
        <v>65</v>
      </c>
      <c r="C16" s="7" t="str">
        <f>HYPERLINK("https://tools.wmflabs.org/geohack/geohack.php?params=40.2088_N_28.9670_E_type:city","40.2088°N 28.9670°E")</f>
        <v>40.2088°N 28.9670°E</v>
      </c>
      <c r="D16" s="7" t="s">
        <v>1196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5" x14ac:dyDescent="0.35">
      <c r="A17" s="2" t="s">
        <v>786</v>
      </c>
      <c r="B17" s="2" t="s">
        <v>69</v>
      </c>
      <c r="C17" s="7" t="str">
        <f>HYPERLINK("https://tools.wmflabs.org/geohack/geohack.php?params=40.2788_N_28.8860_E_type:city","40.2788°N 28.8860°E")</f>
        <v>40.2788°N 28.8860°E</v>
      </c>
      <c r="D17" s="7" t="s">
        <v>1200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5" x14ac:dyDescent="0.35">
      <c r="A18" s="2" t="s">
        <v>787</v>
      </c>
      <c r="B18" s="2" t="s">
        <v>73</v>
      </c>
      <c r="C18" s="7" t="str">
        <f>HYPERLINK("https://tools.wmflabs.org/geohack/geohack.php?params=40.2085_N_28.9725_E_type:city","40.2085°N 28.9725°E")</f>
        <v>40.2085°N 28.9725°E</v>
      </c>
      <c r="D18" s="7" t="s">
        <v>1204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5" x14ac:dyDescent="0.35">
      <c r="A19" s="2" t="s">
        <v>788</v>
      </c>
      <c r="B19" s="2" t="s">
        <v>78</v>
      </c>
      <c r="C19" s="7" t="str">
        <f>HYPERLINK("https://tools.wmflabs.org/geohack/geohack.php?params=40.1966_N_28.9420_E_type:city","40.1966°N 28.9420°E")</f>
        <v>40.1966°N 28.9420°E</v>
      </c>
      <c r="D19" s="7" t="s">
        <v>1197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5" x14ac:dyDescent="0.35">
      <c r="A20" s="2" t="s">
        <v>789</v>
      </c>
      <c r="B20" s="2" t="s">
        <v>84</v>
      </c>
      <c r="C20" s="7" t="str">
        <f>HYPERLINK("https://tools.wmflabs.org/geohack/geohack.php?params=40.1977_N_28.8905_E_type:city","40.1977°N 28.8905°E")</f>
        <v>40.1977°N 28.8905°E</v>
      </c>
      <c r="D20" s="7" t="s">
        <v>1200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35">
      <c r="A21" s="2" t="s">
        <v>790</v>
      </c>
      <c r="B21" s="2" t="s">
        <v>89</v>
      </c>
      <c r="C21" s="7" t="str">
        <f>HYPERLINK("https://tools.wmflabs.org/geohack/geohack.php?params=40.1973_N_28.9693_E_type:city","40.1973°N 28.9693°E")</f>
        <v>40.1973°N 28.9693°E</v>
      </c>
      <c r="D21" s="7" t="s">
        <v>1204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5">
      <c r="A22" s="2" t="s">
        <v>791</v>
      </c>
      <c r="B22" s="2" t="s">
        <v>93</v>
      </c>
      <c r="C22" s="7" t="str">
        <f>HYPERLINK("https://tools.wmflabs.org/geohack/geohack.php?params=40.1575_N_28.8860_E_type:city","40.1575°N 28.8860°E")</f>
        <v>40.1575°N 28.8860°E</v>
      </c>
      <c r="D22" s="7" t="s">
        <v>1205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35">
      <c r="A23" s="2" t="s">
        <v>792</v>
      </c>
      <c r="B23" s="2" t="s">
        <v>98</v>
      </c>
      <c r="C23" s="7" t="str">
        <f>HYPERLINK("https://tools.wmflabs.org/geohack/geohack.php?params=40.1500_N_28.8230_E_type:city","40.1500°N 28.8230°E")</f>
        <v>40.1500°N 28.8230°E</v>
      </c>
      <c r="D23" s="7" t="s">
        <v>1206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35">
      <c r="A24" s="2" t="s">
        <v>793</v>
      </c>
      <c r="B24" s="2" t="s">
        <v>63</v>
      </c>
      <c r="C24" s="7" t="str">
        <f>HYPERLINK("https://tools.wmflabs.org/geohack/geohack.php?params=40.2205_N_28.9700_E_type:city","40.2205°N 28.9700°E")</f>
        <v>40.2205°N 28.9700°E</v>
      </c>
      <c r="D24" s="7" t="s">
        <v>1204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35">
      <c r="A25" s="2" t="s">
        <v>794</v>
      </c>
      <c r="B25" s="2" t="s">
        <v>107</v>
      </c>
      <c r="C25" s="7" t="str">
        <f>HYPERLINK("https://tools.wmflabs.org/geohack/geohack.php?params=40.1310_N_28.8860_E_type:city","40.1310°N 28.8860°E")</f>
        <v>40.1310°N 28.8860°E</v>
      </c>
      <c r="D25" s="7" t="s">
        <v>1205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35">
      <c r="A26" s="2" t="s">
        <v>795</v>
      </c>
      <c r="B26" s="2" t="s">
        <v>111</v>
      </c>
      <c r="C26" s="7" t="str">
        <f>HYPERLINK("https://tools.wmflabs.org/geohack/geohack.php?params=40.1980_N_28.9480_E_type:city","40.1980°N 28.9480°E")</f>
        <v>40.1980°N 28.9480°E</v>
      </c>
      <c r="D26" s="7" t="s">
        <v>1197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5">
      <c r="A27" s="2" t="s">
        <v>796</v>
      </c>
      <c r="B27" s="2" t="s">
        <v>115</v>
      </c>
      <c r="C27" s="7" t="str">
        <f>HYPERLINK("https://tools.wmflabs.org/geohack/geohack.php?params=40.1865_N_28.9730_E_type:city","40.1865°N 28.9730°E")</f>
        <v>40.1865°N 28.9730°E</v>
      </c>
      <c r="D27" s="7" t="s">
        <v>1204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5">
      <c r="A28" s="2" t="s">
        <v>797</v>
      </c>
      <c r="B28" s="2" t="s">
        <v>120</v>
      </c>
      <c r="C28" s="7" t="str">
        <f>HYPERLINK("https://tools.wmflabs.org/geohack/geohack.php?params=40.2245_N_28.8338_E_type:city","40.2245°N 28.8338°E")</f>
        <v>40.2245°N 28.8338°E</v>
      </c>
      <c r="D28" s="7" t="s">
        <v>1207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5">
      <c r="A29" s="2" t="s">
        <v>798</v>
      </c>
      <c r="B29" s="2" t="s">
        <v>124</v>
      </c>
      <c r="C29" s="7" t="str">
        <f>HYPERLINK("https://tools.wmflabs.org/geohack/geohack.php?params=40.2190_N_28.9160_E_type:city","40.2190°N 28.9160°E")</f>
        <v>40.2190°N 28.9160°E</v>
      </c>
      <c r="D29" s="7" t="s">
        <v>1200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5">
      <c r="A30" s="2" t="s">
        <v>799</v>
      </c>
      <c r="B30" s="2" t="s">
        <v>117</v>
      </c>
      <c r="C30" s="7" t="str">
        <f>HYPERLINK("https://tools.wmflabs.org/geohack/geohack.php?params=40.2100_N_28.9830_E_type:city","40.2100°N 28.9830°E")</f>
        <v>40.2100°N 28.9830°E</v>
      </c>
      <c r="D30" s="7" t="s">
        <v>1204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5">
      <c r="A31" s="2" t="s">
        <v>800</v>
      </c>
      <c r="B31" s="2" t="s">
        <v>132</v>
      </c>
      <c r="C31" s="7" t="str">
        <f>HYPERLINK("https://tools.wmflabs.org/geohack/geohack.php?params=40.2120_N_28.8550_E_type:city","40.2120°N 28.8550°E")</f>
        <v>40.2120°N 28.8550°E</v>
      </c>
      <c r="D31" s="7" t="s">
        <v>1203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5">
      <c r="A32" s="2" t="s">
        <v>801</v>
      </c>
      <c r="B32" s="2" t="s">
        <v>138</v>
      </c>
      <c r="C32" s="7" t="str">
        <f>HYPERLINK("https://tools.wmflabs.org/geohack/geohack.php?params=40.2249_N_28.9764_E_type:city","40.2249°N 28.9764°E")</f>
        <v>40.2249°N 28.9764°E</v>
      </c>
      <c r="D32" s="7" t="s">
        <v>1204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5">
      <c r="A33" s="2" t="s">
        <v>802</v>
      </c>
      <c r="B33" s="2" t="s">
        <v>142</v>
      </c>
      <c r="C33" s="7" t="str">
        <f>HYPERLINK("https://tools.wmflabs.org/geohack/geohack.php?params=40.1970_N_28.8420_E_type:city","40.1970°N 28.8420°E")</f>
        <v>40.1970°N 28.8420°E</v>
      </c>
      <c r="D33" s="7" t="s">
        <v>1203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35">
      <c r="A34" s="2" t="s">
        <v>803</v>
      </c>
      <c r="B34" s="2" t="s">
        <v>148</v>
      </c>
      <c r="C34" s="7" t="str">
        <f>HYPERLINK("https://tools.wmflabs.org/geohack/geohack.php?params=40.1840_N_28.6950_E_type:city","40.1840°N 28.6950°E")</f>
        <v>40.1840°N 28.6950°E</v>
      </c>
      <c r="D34" s="7" t="s">
        <v>1199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35">
      <c r="A35" s="2" t="s">
        <v>804</v>
      </c>
      <c r="B35" s="2" t="s">
        <v>152</v>
      </c>
      <c r="C35" s="7" t="str">
        <f>HYPERLINK("https://tools.wmflabs.org/geohack/geohack.php?params=40.2200_N_28.8620_E_type:city","40.2200°N 28.8620°E")</f>
        <v>40.2200°N 28.8620°E</v>
      </c>
      <c r="D35" s="7" t="s">
        <v>1198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35">
      <c r="A36" s="2" t="s">
        <v>805</v>
      </c>
      <c r="B36" s="2" t="s">
        <v>156</v>
      </c>
      <c r="C36" s="7" t="str">
        <f>HYPERLINK("https://tools.wmflabs.org/geohack/geohack.php?params=40.2050_N_28.9440_E_type:city","40.2050°N 28.9440°E")</f>
        <v>40.2050°N 28.9440°E</v>
      </c>
      <c r="D36" s="7" t="s">
        <v>1197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35">
      <c r="A37" s="2" t="s">
        <v>806</v>
      </c>
      <c r="B37" s="2" t="s">
        <v>163</v>
      </c>
      <c r="C37" s="7" t="str">
        <f>HYPERLINK("https://tools.wmflabs.org/geohack/geohack.php?params=40.2360_N_28.8790_E_type:city","40.2360°N 28.8790°E")</f>
        <v>40.2360°N 28.8790°E</v>
      </c>
      <c r="D37" s="7" t="s">
        <v>1205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35">
      <c r="A38" s="2" t="s">
        <v>807</v>
      </c>
      <c r="B38" s="2" t="s">
        <v>167</v>
      </c>
      <c r="C38" s="7" t="str">
        <f>HYPERLINK("https://tools.wmflabs.org/geohack/geohack.php?params=40.1749_N_28.7960_E_type:city","40.1749°N 28.7960°E")</f>
        <v>40.1749°N 28.7960°E</v>
      </c>
      <c r="D38" s="7" t="s">
        <v>1201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35">
      <c r="A39" s="2" t="s">
        <v>808</v>
      </c>
      <c r="B39" s="2" t="s">
        <v>171</v>
      </c>
      <c r="C39" s="7" t="str">
        <f>HYPERLINK("https://tools.wmflabs.org/geohack/geohack.php?params=40.2110_N_28.9820_E_type:city","40.2110°N 28.9820°E")</f>
        <v>40.2110°N 28.9820°E</v>
      </c>
      <c r="D39" s="7" t="s">
        <v>1204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35">
      <c r="A40" s="2" t="s">
        <v>809</v>
      </c>
      <c r="B40" s="2" t="s">
        <v>176</v>
      </c>
      <c r="C40" s="7" t="str">
        <f>HYPERLINK("https://tools.wmflabs.org/geohack/geohack.php?params=40.1750_N_28.8780_E_type:city","40.1750°N 28.8780°E")</f>
        <v>40.1750°N 28.8780°E</v>
      </c>
      <c r="D40" s="7" t="s">
        <v>1205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35">
      <c r="A41" s="2" t="s">
        <v>810</v>
      </c>
      <c r="B41" s="2" t="s">
        <v>180</v>
      </c>
      <c r="C41" s="7" t="str">
        <f>HYPERLINK("https://tools.wmflabs.org/geohack/geohack.php?params=40.2170_N_28.8680_E_type:city","40.2170°N 28.8680°E")</f>
        <v>40.2170°N 28.8680°E</v>
      </c>
      <c r="D41" s="7" t="s">
        <v>1208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35">
      <c r="A42" s="2" t="s">
        <v>811</v>
      </c>
      <c r="B42" s="2" t="s">
        <v>185</v>
      </c>
      <c r="C42" s="7" t="str">
        <f>HYPERLINK("https://tools.wmflabs.org/geohack/geohack.php?params=40.1980_N_28.9870_E_type:city","40.1980°N 28.9870°E")</f>
        <v>40.1980°N 28.9870°E</v>
      </c>
      <c r="D42" s="7" t="s">
        <v>1204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35">
      <c r="A43" s="2" t="s">
        <v>812</v>
      </c>
      <c r="B43" s="2" t="s">
        <v>190</v>
      </c>
      <c r="C43" s="7" t="str">
        <f>HYPERLINK("https://tools.wmflabs.org/geohack/geohack.php?params=40.1710_N_28.9490_E_type:city","40.1710°N 28.9490°E")</f>
        <v>40.1710°N 28.9490°E</v>
      </c>
      <c r="D43" s="7" t="s">
        <v>1197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35">
      <c r="A44" s="2" t="s">
        <v>813</v>
      </c>
      <c r="B44" s="2" t="s">
        <v>196</v>
      </c>
      <c r="C44" s="7" t="str">
        <f>HYPERLINK("https://tools.wmflabs.org/geohack/geohack.php?params=40.1650_N_28.8300_E_type:city","40.1650°N 28.8300°E")</f>
        <v>40.1650°N 28.8300°E</v>
      </c>
      <c r="D44" s="7" t="s">
        <v>1207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35">
      <c r="A45" s="2" t="s">
        <v>814</v>
      </c>
      <c r="B45" s="2" t="s">
        <v>200</v>
      </c>
      <c r="C45" s="7" t="str">
        <f>HYPERLINK("https://tools.wmflabs.org/geohack/geohack.php?params=40.2090_N_28.9770_E_type:city","40.2090°N 28.9770°E")</f>
        <v>40.2090°N 28.9770°E</v>
      </c>
      <c r="D45" s="7" t="s">
        <v>1204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35">
      <c r="A46" s="2" t="s">
        <v>815</v>
      </c>
      <c r="B46" s="2" t="s">
        <v>203</v>
      </c>
      <c r="C46" s="7" t="str">
        <f>HYPERLINK("https://tools.wmflabs.org/geohack/geohack.php?params=40.1600_N_28.8580_E_type:city","40.1600°N 28.8580°E")</f>
        <v>40.1600°N 28.8580°E</v>
      </c>
      <c r="D46" s="7" t="s">
        <v>1209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35">
      <c r="A47" s="2" t="s">
        <v>816</v>
      </c>
      <c r="B47" s="2" t="s">
        <v>208</v>
      </c>
      <c r="C47" s="7" t="str">
        <f>HYPERLINK("https://tools.wmflabs.org/geohack/geohack.php?params=40.1930_N_28.9200_E_type:city","40.1930°N 28.9200°E")</f>
        <v>40.1930°N 28.9200°E</v>
      </c>
      <c r="D47" s="7" t="s">
        <v>1200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35">
      <c r="A48" s="2" t="s">
        <v>817</v>
      </c>
      <c r="B48" s="2" t="s">
        <v>212</v>
      </c>
      <c r="C48" s="7" t="str">
        <f>HYPERLINK("https://tools.wmflabs.org/geohack/geohack.php?params=40.1970_N_28.9690_E_type:city","40.1970°N 28.9690°E")</f>
        <v>40.1970°N 28.9690°E</v>
      </c>
      <c r="D48" s="7" t="s">
        <v>1204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35">
      <c r="A49" s="2" t="s">
        <v>818</v>
      </c>
      <c r="B49" s="2" t="s">
        <v>216</v>
      </c>
      <c r="C49" s="7" t="str">
        <f>HYPERLINK("https://tools.wmflabs.org/geohack/geohack.php?params=40.1560_N_28.8240_E_type:city","40.1560°N 28.8240°E")</f>
        <v>40.1560°N 28.8240°E</v>
      </c>
      <c r="D49" s="7" t="s">
        <v>1207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35">
      <c r="A50" s="2" t="s">
        <v>819</v>
      </c>
      <c r="B50" s="2" t="s">
        <v>222</v>
      </c>
      <c r="C50" s="7" t="str">
        <f>HYPERLINK("https://tools.wmflabs.org/geohack/geohack.php?params=40.1500_N_28.8650_E_type:city","40.1500°N 28.8650°E")</f>
        <v>40.1500°N 28.8650°E</v>
      </c>
      <c r="D50" s="7" t="s">
        <v>1208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35">
      <c r="A51" s="2" t="s">
        <v>820</v>
      </c>
      <c r="B51" s="2" t="s">
        <v>226</v>
      </c>
      <c r="C51" s="7" t="str">
        <f>HYPERLINK("https://tools.wmflabs.org/geohack/geohack.php?params=40.2120_N_28.9690_E_type:city","40.2120°N 28.9690°E")</f>
        <v>40.2120°N 28.9690°E</v>
      </c>
      <c r="D51" s="7" t="s">
        <v>1196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35">
      <c r="A52" s="2" t="s">
        <v>821</v>
      </c>
      <c r="B52" s="2" t="s">
        <v>230</v>
      </c>
      <c r="C52" s="7" t="str">
        <f>HYPERLINK("https://tools.wmflabs.org/geohack/geohack.php?params=40.2260_N_28.8510_E_type:city","40.2260°N 28.8510°E")</f>
        <v>40.2260°N 28.8510°E</v>
      </c>
      <c r="D52" s="7" t="s">
        <v>1203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35">
      <c r="A53" s="2" t="s">
        <v>822</v>
      </c>
      <c r="B53" s="2" t="s">
        <v>236</v>
      </c>
      <c r="C53" s="7" t="str">
        <f>HYPERLINK("https://tools.wmflabs.org/geohack/geohack.php?params=40.1900_N_28.9540_E_type:city","40.1900°N 28.9540°E")</f>
        <v>40.1900°N 28.9540°E</v>
      </c>
      <c r="D53" s="7" t="s">
        <v>1196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35">
      <c r="A54" s="2" t="s">
        <v>823</v>
      </c>
      <c r="B54" s="2" t="s">
        <v>241</v>
      </c>
      <c r="C54" s="7" t="str">
        <f>HYPERLINK("https://tools.wmflabs.org/geohack/geohack.php?params=40.1350_N_28.8410_E_type:city","40.1350°N 28.8410°E")</f>
        <v>40.1350°N 28.8410°E</v>
      </c>
      <c r="D54" s="7" t="s">
        <v>1203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35">
      <c r="A55" s="2" t="s">
        <v>824</v>
      </c>
      <c r="B55" s="2" t="s">
        <v>245</v>
      </c>
      <c r="C55" s="7" t="str">
        <f>HYPERLINK("https://tools.wmflabs.org/geohack/geohack.php?params=40.2300_N_28.9030_E_type:city","40.2300°N 28.9030°E")</f>
        <v>40.2300°N 28.9030°E</v>
      </c>
      <c r="D55" s="7" t="s">
        <v>1200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35">
      <c r="A56" s="2" t="s">
        <v>825</v>
      </c>
      <c r="B56" s="2" t="s">
        <v>250</v>
      </c>
      <c r="C56" s="7" t="str">
        <f>HYPERLINK("https://tools.wmflabs.org/geohack/geohack.php?params=40.1970_N_28.9780_E_type:city","40.1970°N 28.9780°E")</f>
        <v>40.1970°N 28.9780°E</v>
      </c>
      <c r="D56" s="7" t="s">
        <v>1204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35">
      <c r="A57" s="2" t="s">
        <v>826</v>
      </c>
      <c r="B57" s="2" t="s">
        <v>254</v>
      </c>
      <c r="C57" s="7" t="str">
        <f>HYPERLINK("https://tools.wmflabs.org/geohack/geohack.php?params=40.2110_N_28.9290_E_type:city","40.2110°N 28.9290°E")</f>
        <v>40.2110°N 28.9290°E</v>
      </c>
      <c r="D57" s="7" t="s">
        <v>1200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35">
      <c r="A58" s="2" t="s">
        <v>827</v>
      </c>
      <c r="B58" s="2" t="s">
        <v>260</v>
      </c>
      <c r="C58" s="7" t="str">
        <f>HYPERLINK("https://tools.wmflabs.org/geohack/geohack.php?params=40.1640_N_28.9270_E_type:city","40.1640°N 28.9270°E")</f>
        <v>40.1640°N 28.9270°E</v>
      </c>
      <c r="D58" s="7" t="s">
        <v>1200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35">
      <c r="A59" s="2" t="s">
        <v>828</v>
      </c>
      <c r="B59" s="2" t="s">
        <v>264</v>
      </c>
      <c r="C59" s="7" t="str">
        <f>HYPERLINK("https://tools.wmflabs.org/geohack/geohack.php?params=40.1940_N_28.9500_E_type:city","40.1940°N 28.9500°E")</f>
        <v>40.1940°N 28.9500°E</v>
      </c>
      <c r="D59" s="7" t="s">
        <v>1197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35">
      <c r="A60" s="2" t="s">
        <v>829</v>
      </c>
      <c r="B60" s="2" t="s">
        <v>267</v>
      </c>
      <c r="C60" s="7" t="str">
        <f>HYPERLINK("https://tools.wmflabs.org/geohack/geohack.php?params=40.1390_N_28.8070_E_type:city","40.1390°N 28.8070°E")</f>
        <v>40.1390°N 28.8070°E</v>
      </c>
      <c r="D60" s="7" t="s">
        <v>1206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35">
      <c r="A61" s="2" t="s">
        <v>830</v>
      </c>
      <c r="B61" s="2" t="s">
        <v>272</v>
      </c>
      <c r="C61" s="7" t="str">
        <f>HYPERLINK("https://tools.wmflabs.org/geohack/geohack.php?params=40.1040_N_28.7920_E_type:city","40.1040°N 28.7920°E")</f>
        <v>40.1040°N 28.7920°E</v>
      </c>
      <c r="D61" s="7" t="s">
        <v>1201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35">
      <c r="A62" s="2" t="s">
        <v>831</v>
      </c>
      <c r="B62" s="2" t="s">
        <v>275</v>
      </c>
      <c r="C62" s="7" t="str">
        <f>HYPERLINK("https://tools.wmflabs.org/geohack/geohack.php?params=40.2309_N_28.8986_E_type:city","40.2309°N 28.8986°E")</f>
        <v>40.2309°N 28.8986°E</v>
      </c>
      <c r="D62" s="7" t="s">
        <v>1200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35">
      <c r="A63" s="2" t="s">
        <v>832</v>
      </c>
      <c r="B63" s="2" t="s">
        <v>278</v>
      </c>
      <c r="C63" s="7" t="str">
        <f>HYPERLINK("https://tools.wmflabs.org/geohack/geohack.php?params=40.1850_N_28.8550_E_type:city","40.1850°N 28.8550°E")</f>
        <v>40.1850°N 28.8550°E</v>
      </c>
      <c r="D63" s="7" t="s">
        <v>1209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35">
      <c r="A64" s="2" t="s">
        <v>833</v>
      </c>
      <c r="B64" s="2" t="s">
        <v>282</v>
      </c>
      <c r="C64" s="7" t="str">
        <f>HYPERLINK("https://tools.wmflabs.org/geohack/geohack.php?params=40.1890_N_28.8730_E_type:city","40.1890°N 28.8730°E")</f>
        <v>40.1890°N 28.8730°E</v>
      </c>
      <c r="D64" s="7" t="s">
        <v>1208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35">
      <c r="A65" s="2" t="s">
        <v>834</v>
      </c>
      <c r="B65" s="2" t="s">
        <v>286</v>
      </c>
      <c r="C65" s="7" t="str">
        <f>HYPERLINK("https://tools.wmflabs.org/geohack/geohack.php?params=40.1960_N_28.9610_E_type:city","40.1960°N 28.9610°E")</f>
        <v>40.1960°N 28.9610°E</v>
      </c>
      <c r="D65" s="7" t="s">
        <v>1196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7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zoomScale="80" zoomScaleNormal="80" workbookViewId="0">
      <pane ySplit="1" topLeftCell="A2" activePane="bottomLeft" state="frozen"/>
      <selection pane="bottomLeft" activeCell="D1" sqref="D1:D1048576"/>
    </sheetView>
  </sheetViews>
  <sheetFormatPr defaultColWidth="20.6328125" defaultRowHeight="15" customHeight="1" x14ac:dyDescent="0.35"/>
  <cols>
    <col min="1" max="1" width="10.6328125" customWidth="1"/>
  </cols>
  <sheetData>
    <row r="1" spans="1:27" ht="14.5" x14ac:dyDescent="0.35">
      <c r="A1" s="1" t="s">
        <v>563</v>
      </c>
      <c r="B1" s="1" t="s">
        <v>0</v>
      </c>
      <c r="C1" s="1" t="s">
        <v>1</v>
      </c>
      <c r="D1" s="1" t="s">
        <v>1185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5" x14ac:dyDescent="0.35">
      <c r="A2" s="2" t="s">
        <v>835</v>
      </c>
      <c r="B2" s="2" t="s">
        <v>4</v>
      </c>
      <c r="C2" s="7" t="str">
        <f>HYPERLINK("https://tools.wmflabs.org/geohack/geohack.php?params=40.0987_N_29.5946_E_type:city","40.0987°N 29.5946°E")</f>
        <v>40.0987°N 29.5946°E</v>
      </c>
      <c r="D2" s="7" t="s">
        <v>1210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5" x14ac:dyDescent="0.35">
      <c r="A3" s="2" t="s">
        <v>836</v>
      </c>
      <c r="B3" s="2" t="s">
        <v>8</v>
      </c>
      <c r="C3" s="7" t="str">
        <f>HYPERLINK("https://tools.wmflabs.org/geohack/geohack.php?params=40.1183_N_29.4662_E_type:city","40.1183°N 29.4662°E")</f>
        <v>40.1183°N 29.4662°E</v>
      </c>
      <c r="D3" s="7" t="s">
        <v>1211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5" x14ac:dyDescent="0.35">
      <c r="A4" s="2" t="s">
        <v>837</v>
      </c>
      <c r="B4" s="2" t="s">
        <v>12</v>
      </c>
      <c r="C4" s="7" t="str">
        <f>HYPERLINK("https://tools.wmflabs.org/geohack/geohack.php?params=40.1121_N_29.3957_E_type:city","40.1121°N 29.3957°E")</f>
        <v>40.1121°N 29.3957°E</v>
      </c>
      <c r="D4" s="7" t="s">
        <v>1211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5" x14ac:dyDescent="0.35">
      <c r="A5" s="2" t="s">
        <v>838</v>
      </c>
      <c r="B5" s="2" t="s">
        <v>15</v>
      </c>
      <c r="C5" s="7" t="str">
        <f>HYPERLINK("https://tools.wmflabs.org/geohack/geohack.php?params=40.0459_N_29.5733_E_type:city","40.0459°N 29.5733°E")</f>
        <v>40.0459°N 29.5733°E</v>
      </c>
      <c r="D5" s="7" t="s">
        <v>1210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5" x14ac:dyDescent="0.35">
      <c r="A6" s="2" t="s">
        <v>839</v>
      </c>
      <c r="B6" s="2" t="s">
        <v>18</v>
      </c>
      <c r="C6" s="7" t="str">
        <f>HYPERLINK("https://tools.wmflabs.org/geohack/geohack.php?params=40.0049_N_29.6190_E_type:city","40.0049°N 29.6190°E")</f>
        <v>40.0049°N 29.6190°E</v>
      </c>
      <c r="D6" s="7" t="s">
        <v>1210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5" x14ac:dyDescent="0.35">
      <c r="A7" s="2" t="s">
        <v>840</v>
      </c>
      <c r="B7" s="2" t="s">
        <v>22</v>
      </c>
      <c r="C7" s="7" t="str">
        <f>HYPERLINK("https://tools.wmflabs.org/geohack/geohack.php?params=40.0651_N_29.7091_E_type:city","40.0651°N 29.7091°E")</f>
        <v>40.0651°N 29.7091°E</v>
      </c>
      <c r="D7" s="7" t="s">
        <v>1210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5" x14ac:dyDescent="0.35">
      <c r="A8" s="2" t="s">
        <v>841</v>
      </c>
      <c r="B8" s="2" t="s">
        <v>26</v>
      </c>
      <c r="C8" s="7" t="str">
        <f>HYPERLINK("https://tools.wmflabs.org/geohack/geohack.php?params=39.9657_N_29.5887_E_type:city","39.9657°N 29.5887°E")</f>
        <v>39.9657°N 29.5887°E</v>
      </c>
      <c r="D8" s="7" t="s">
        <v>1210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5" x14ac:dyDescent="0.35">
      <c r="A9" s="2" t="s">
        <v>842</v>
      </c>
      <c r="B9" s="2" t="s">
        <v>30</v>
      </c>
      <c r="C9" s="7" t="str">
        <f>HYPERLINK("https://tools.wmflabs.org/geohack/geohack.php?params=39.9219_N_29.6209_E_type:city","39.9219°N 29.6209°E")</f>
        <v>39.9219°N 29.6209°E</v>
      </c>
      <c r="D9" s="7" t="s">
        <v>1210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5" x14ac:dyDescent="0.35">
      <c r="A10" s="2" t="s">
        <v>843</v>
      </c>
      <c r="B10" s="2" t="s">
        <v>34</v>
      </c>
      <c r="C10" s="7" t="str">
        <f>HYPERLINK("https://tools.wmflabs.org/geohack/geohack.php?params=40.1310_N_29.4642_E_type:city","40.1310°N 29.4642°E")</f>
        <v>40.1310°N 29.4642°E</v>
      </c>
      <c r="D10" s="7" t="s">
        <v>1211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5" x14ac:dyDescent="0.35">
      <c r="A11" s="2" t="s">
        <v>844</v>
      </c>
      <c r="B11" s="2" t="s">
        <v>38</v>
      </c>
      <c r="C11" s="7" t="str">
        <f>HYPERLINK("https://tools.wmflabs.org/geohack/geohack.php?params=40.1092_N_29.6606_E_type:city","40.1092°N 29.6606°E")</f>
        <v>40.1092°N 29.6606°E</v>
      </c>
      <c r="D11" s="7" t="s">
        <v>1210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5" x14ac:dyDescent="0.35">
      <c r="A12" s="2" t="s">
        <v>845</v>
      </c>
      <c r="B12" s="2" t="s">
        <v>42</v>
      </c>
      <c r="C12" s="7" t="str">
        <f>HYPERLINK("https://tools.wmflabs.org/geohack/geohack.php?params=40.0685_N_29.5848_E_type:city","40.0685°N 29.5848°E")</f>
        <v>40.0685°N 29.5848°E</v>
      </c>
      <c r="D12" s="7" t="s">
        <v>1210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5" x14ac:dyDescent="0.35">
      <c r="A13" s="2" t="s">
        <v>846</v>
      </c>
      <c r="B13" s="2" t="s">
        <v>45</v>
      </c>
      <c r="C13" s="7" t="str">
        <f>HYPERLINK("https://tools.wmflabs.org/geohack/geohack.php?params=40.1752_N_29.5297_E_type:city","40.1752°N 29.5297°E")</f>
        <v>40.1752°N 29.5297°E</v>
      </c>
      <c r="D13" s="7" t="s">
        <v>1210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5" x14ac:dyDescent="0.35">
      <c r="A14" s="2" t="s">
        <v>847</v>
      </c>
      <c r="B14" s="2" t="s">
        <v>49</v>
      </c>
      <c r="C14" s="7" t="str">
        <f>HYPERLINK("https://tools.wmflabs.org/geohack/geohack.php?params=40.0808_N_29.4970_E_type:city","40.0808°N 29.4970°E")</f>
        <v>40.0808°N 29.4970°E</v>
      </c>
      <c r="D14" s="7" t="s">
        <v>1211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5" x14ac:dyDescent="0.35">
      <c r="A15" s="2" t="s">
        <v>848</v>
      </c>
      <c r="B15" s="2" t="s">
        <v>53</v>
      </c>
      <c r="C15" s="7" t="str">
        <f>HYPERLINK("https://tools.wmflabs.org/geohack/geohack.php?params=40.0730_N_29.5100_E_type:city","40.0730°N 29.5100°E")</f>
        <v>40.0730°N 29.5100°E</v>
      </c>
      <c r="D15" s="7" t="s">
        <v>1210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5" x14ac:dyDescent="0.35">
      <c r="A16" s="2" t="s">
        <v>849</v>
      </c>
      <c r="B16" s="2" t="s">
        <v>57</v>
      </c>
      <c r="C16" s="7" t="str">
        <f>HYPERLINK("https://tools.wmflabs.org/geohack/geohack.php?params=40.0712_N_29.4466_E_type:city","40.0712°N 29.4466°E")</f>
        <v>40.0712°N 29.4466°E</v>
      </c>
      <c r="D16" s="7" t="s">
        <v>1211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5" x14ac:dyDescent="0.35">
      <c r="A17" s="2" t="s">
        <v>850</v>
      </c>
      <c r="B17" s="2" t="s">
        <v>61</v>
      </c>
      <c r="C17" s="7" t="str">
        <f>HYPERLINK("https://tools.wmflabs.org/geohack/geohack.php?params=40.0789_N_29.5103_E_type:city","40.0789°N 29.5103°E")</f>
        <v>40.0789°N 29.5103°E</v>
      </c>
      <c r="D17" s="7" t="s">
        <v>1210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5" x14ac:dyDescent="0.35">
      <c r="A18" s="2" t="s">
        <v>851</v>
      </c>
      <c r="B18" s="2" t="s">
        <v>63</v>
      </c>
      <c r="C18" s="7" t="str">
        <f>HYPERLINK("https://tools.wmflabs.org/geohack/geohack.php?params=40.1003_N_29.5147_E_type:city","40.1003°N 29.5147°E")</f>
        <v>40.1003°N 29.5147°E</v>
      </c>
      <c r="D18" s="7" t="s">
        <v>1210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5" x14ac:dyDescent="0.35">
      <c r="A19" s="2" t="s">
        <v>852</v>
      </c>
      <c r="B19" s="2" t="s">
        <v>67</v>
      </c>
      <c r="C19" s="7" t="str">
        <f>HYPERLINK("https://tools.wmflabs.org/geohack/geohack.php?params=40.1667_N_29.4667_E_type:city","40.1667°N 29.4667°E")</f>
        <v>40.1667°N 29.4667°E</v>
      </c>
      <c r="D19" s="7" t="s">
        <v>1211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5" x14ac:dyDescent="0.35">
      <c r="A20" s="2" t="s">
        <v>853</v>
      </c>
      <c r="B20" s="2" t="s">
        <v>71</v>
      </c>
      <c r="C20" s="7" t="str">
        <f>HYPERLINK("https://tools.wmflabs.org/geohack/geohack.php?params=40.0185_N_29.4092_E_type:city","40.0185°N 29.4092°E")</f>
        <v>40.0185°N 29.4092°E</v>
      </c>
      <c r="D20" s="7" t="s">
        <v>1211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35">
      <c r="A21" s="2" t="s">
        <v>854</v>
      </c>
      <c r="B21" s="2" t="s">
        <v>75</v>
      </c>
      <c r="C21" s="7" t="str">
        <f>HYPERLINK("https://tools.wmflabs.org/geohack/geohack.php?params=40.0027_N_29.4727_E_type:city","40.0027°N 29.4727°E")</f>
        <v>40.0027°N 29.4727°E</v>
      </c>
      <c r="D21" s="7" t="s">
        <v>1211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5">
      <c r="A22" s="2" t="s">
        <v>855</v>
      </c>
      <c r="B22" s="2" t="s">
        <v>79</v>
      </c>
      <c r="C22" s="7" t="str">
        <f>HYPERLINK("https://tools.wmflabs.org/geohack/geohack.php?params=40.0722_N_29.4734_E_type:city","40.0722°N 29.4734°E")</f>
        <v>40.0722°N 29.4734°E</v>
      </c>
      <c r="D22" s="7" t="s">
        <v>1211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35">
      <c r="A23" s="2" t="s">
        <v>856</v>
      </c>
      <c r="B23" s="2" t="s">
        <v>82</v>
      </c>
      <c r="C23" s="7" t="str">
        <f>HYPERLINK("https://tools.wmflabs.org/geohack/geohack.php?params=40.0601_N_29.3881_E_type:city","40.0601°N 29.3881°E")</f>
        <v>40.0601°N 29.3881°E</v>
      </c>
      <c r="D23" s="7" t="s">
        <v>1211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35">
      <c r="A24" s="2" t="s">
        <v>857</v>
      </c>
      <c r="B24" s="2" t="s">
        <v>86</v>
      </c>
      <c r="C24" s="7" t="str">
        <f>HYPERLINK("https://tools.wmflabs.org/geohack/geohack.php?params=40.0286_N_29.6320_E_type:city","40.0286°N 29.6320°E")</f>
        <v>40.0286°N 29.6320°E</v>
      </c>
      <c r="D24" s="7" t="s">
        <v>1210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35">
      <c r="A25" s="2" t="s">
        <v>858</v>
      </c>
      <c r="B25" s="2" t="s">
        <v>90</v>
      </c>
      <c r="C25" s="7" t="str">
        <f>HYPERLINK("https://tools.wmflabs.org/geohack/geohack.php?params=40.0333_N_29.5333_E_type:city","40.0333°N 29.5333°E")</f>
        <v>40.0333°N 29.5333°E</v>
      </c>
      <c r="D25" s="7" t="s">
        <v>1210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35">
      <c r="A26" s="2" t="s">
        <v>859</v>
      </c>
      <c r="B26" s="2" t="s">
        <v>94</v>
      </c>
      <c r="C26" s="7" t="str">
        <f>HYPERLINK("https://tools.wmflabs.org/geohack/geohack.php?params=40.0167_N_29.5167_E_type:city","40.0167°N 29.5167°E")</f>
        <v>40.0167°N 29.5167°E</v>
      </c>
      <c r="D26" s="7" t="s">
        <v>1210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5">
      <c r="A27" s="2" t="s">
        <v>860</v>
      </c>
      <c r="B27" s="2" t="s">
        <v>97</v>
      </c>
      <c r="C27" s="7" t="str">
        <f>HYPERLINK("https://tools.wmflabs.org/geohack/geohack.php?params=40.0509_N_29.4403_E_type:city","40.0509°N 29.4403°E")</f>
        <v>40.0509°N 29.4403°E</v>
      </c>
      <c r="D27" s="7" t="s">
        <v>1211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5">
      <c r="A28" s="2" t="s">
        <v>861</v>
      </c>
      <c r="B28" s="2" t="s">
        <v>101</v>
      </c>
      <c r="C28" s="7" t="str">
        <f>HYPERLINK("https://tools.wmflabs.org/geohack/geohack.php?params=40.1120_N_29.6186_E_type:city","40.1120°N 29.6186°E")</f>
        <v>40.1120°N 29.6186°E</v>
      </c>
      <c r="D28" s="7" t="s">
        <v>1210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5">
      <c r="A29" s="2" t="s">
        <v>862</v>
      </c>
      <c r="B29" s="2" t="s">
        <v>104</v>
      </c>
      <c r="C29" s="7" t="str">
        <f>HYPERLINK("https://tools.wmflabs.org/geohack/geohack.php?params=40.0831_N_29.4355_E_type:city","40.0831°N 29.4355°E")</f>
        <v>40.0831°N 29.4355°E</v>
      </c>
      <c r="D29" s="7" t="s">
        <v>1211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5">
      <c r="A30" s="2" t="s">
        <v>863</v>
      </c>
      <c r="B30" s="2" t="s">
        <v>108</v>
      </c>
      <c r="C30" s="7" t="str">
        <f>HYPERLINK("https://tools.wmflabs.org/geohack/geohack.php?params=40.0229_N_29.3822_E_type:city","40.0229°N 29.3822°E")</f>
        <v>40.0229°N 29.3822°E</v>
      </c>
      <c r="D30" s="7" t="s">
        <v>1211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5">
      <c r="A31" s="2" t="s">
        <v>864</v>
      </c>
      <c r="B31" s="2" t="s">
        <v>83</v>
      </c>
      <c r="C31" s="7" t="str">
        <f>HYPERLINK("https://tools.wmflabs.org/geohack/geohack.php?params=40.1080_N_29.5140_E_type:city","40.1080°N 29.5140°E")</f>
        <v>40.1080°N 29.5140°E</v>
      </c>
      <c r="D31" s="7" t="s">
        <v>1210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5">
      <c r="A32" s="2" t="s">
        <v>865</v>
      </c>
      <c r="B32" s="2" t="s">
        <v>114</v>
      </c>
      <c r="C32" s="7" t="str">
        <f>HYPERLINK("https://tools.wmflabs.org/geohack/geohack.php?params=40.0918_N_29.3727_E_type:city","40.0918°N 29.3727°E")</f>
        <v>40.0918°N 29.3727°E</v>
      </c>
      <c r="D32" s="7" t="s">
        <v>1211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5">
      <c r="A33" s="2" t="s">
        <v>866</v>
      </c>
      <c r="B33" s="2" t="s">
        <v>117</v>
      </c>
      <c r="C33" s="7" t="str">
        <f>HYPERLINK("https://tools.wmflabs.org/geohack/geohack.php?params=40.1150_N_29.5151_E_type:city","40.1150°N 29.5151°E")</f>
        <v>40.1150°N 29.5151°E</v>
      </c>
      <c r="D33" s="7" t="s">
        <v>1210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35">
      <c r="A34" s="2" t="s">
        <v>867</v>
      </c>
      <c r="B34" s="2" t="s">
        <v>121</v>
      </c>
      <c r="C34" s="7" t="str">
        <f>HYPERLINK("https://tools.wmflabs.org/geohack/geohack.php?params=39.9219_N_29.6209_E_type:city","39.9219°N 29.6209°E")</f>
        <v>39.9219°N 29.6209°E</v>
      </c>
      <c r="D34" s="7" t="s">
        <v>1210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35">
      <c r="A35" s="2" t="s">
        <v>868</v>
      </c>
      <c r="B35" s="2" t="s">
        <v>125</v>
      </c>
      <c r="C35" s="7" t="str">
        <f>HYPERLINK("https://tools.wmflabs.org/geohack/geohack.php?params=39.9558_N_29.6690_E_type:city","39.9558°N 29.6690°E")</f>
        <v>39.9558°N 29.6690°E</v>
      </c>
      <c r="D35" s="7" t="s">
        <v>1210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35">
      <c r="A36" s="2" t="s">
        <v>869</v>
      </c>
      <c r="B36" s="2" t="s">
        <v>127</v>
      </c>
      <c r="C36" s="7" t="str">
        <f>HYPERLINK("https://tools.wmflabs.org/geohack/geohack.php?params=39.9935_N_29.5067_E_type:city","39.9935°N 29.5067°E")</f>
        <v>39.9935°N 29.5067°E</v>
      </c>
      <c r="D36" s="7" t="s">
        <v>1210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35">
      <c r="A37" s="2" t="s">
        <v>870</v>
      </c>
      <c r="B37" s="2" t="s">
        <v>130</v>
      </c>
      <c r="C37" s="7" t="str">
        <f>HYPERLINK("https://tools.wmflabs.org/geohack/geohack.php?params=40.0591_N_29.6510_E_type:city","40.0591°N 29.6510°E")</f>
        <v>40.0591°N 29.6510°E</v>
      </c>
      <c r="D37" s="7" t="s">
        <v>1210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35">
      <c r="A38" s="2" t="s">
        <v>871</v>
      </c>
      <c r="B38" s="2" t="s">
        <v>134</v>
      </c>
      <c r="C38" s="7" t="str">
        <f>HYPERLINK("https://tools.wmflabs.org/geohack/geohack.php?params=40.1071_N_29.5118_E_type:city","40.1071°N 29.5118°E")</f>
        <v>40.1071°N 29.5118°E</v>
      </c>
      <c r="D38" s="7" t="s">
        <v>1210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35">
      <c r="A39" s="2" t="s">
        <v>872</v>
      </c>
      <c r="B39" s="2" t="s">
        <v>137</v>
      </c>
      <c r="C39" s="7" t="str">
        <f>HYPERLINK("https://tools.wmflabs.org/geohack/geohack.php?params=40.0280_N_29.3704_E_type:city","40.0280°N 29.3704°E")</f>
        <v>40.0280°N 29.3704°E</v>
      </c>
      <c r="D39" s="7" t="s">
        <v>1211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35">
      <c r="A40" s="2" t="s">
        <v>873</v>
      </c>
      <c r="B40" s="2" t="s">
        <v>140</v>
      </c>
      <c r="C40" s="7" t="str">
        <f>HYPERLINK("https://tools.wmflabs.org/geohack/geohack.php?params=40.1172_N_29.6078_E_type:city","40.1172°N 29.6078°E")</f>
        <v>40.1172°N 29.6078°E</v>
      </c>
      <c r="D40" s="7" t="s">
        <v>1210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35">
      <c r="A41" s="2" t="s">
        <v>874</v>
      </c>
      <c r="B41" s="2" t="s">
        <v>144</v>
      </c>
      <c r="C41" s="7" t="str">
        <f>HYPERLINK("https://tools.wmflabs.org/geohack/geohack.php?params=40.0765_N_29.5058_E_type:city","40.0765°N 29.5058°E")</f>
        <v>40.0765°N 29.5058°E</v>
      </c>
      <c r="D41" s="7" t="s">
        <v>1210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35">
      <c r="A42" s="2" t="s">
        <v>875</v>
      </c>
      <c r="B42" s="2" t="s">
        <v>147</v>
      </c>
      <c r="C42" s="7" t="str">
        <f>HYPERLINK("https://tools.wmflabs.org/geohack/geohack.php?params=39.9657_N_29.7351_E_type:city","39.9657°N 29.7351°E")</f>
        <v>39.9657°N 29.7351°E</v>
      </c>
      <c r="D42" s="7" t="s">
        <v>1210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35">
      <c r="A43" s="2" t="s">
        <v>876</v>
      </c>
      <c r="B43" s="2" t="s">
        <v>151</v>
      </c>
      <c r="C43" s="7" t="str">
        <f>HYPERLINK("https://tools.wmflabs.org/geohack/geohack.php?params=40.0206_N_29.4406_E_type:city","40.0206°N 29.4406°E")</f>
        <v>40.0206°N 29.4406°E</v>
      </c>
      <c r="D43" s="7" t="s">
        <v>1211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35">
      <c r="A44" s="2" t="s">
        <v>877</v>
      </c>
      <c r="B44" s="2" t="s">
        <v>155</v>
      </c>
      <c r="C44" s="7" t="str">
        <f>HYPERLINK("https://tools.wmflabs.org/geohack/geohack.php?params=39.9858_N_29.6032_E_type:city","39.9858°N 29.6032°E")</f>
        <v>39.9858°N 29.6032°E</v>
      </c>
      <c r="D44" s="7" t="s">
        <v>1210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35">
      <c r="A45" s="2" t="s">
        <v>878</v>
      </c>
      <c r="B45" s="2" t="s">
        <v>159</v>
      </c>
      <c r="C45" s="7" t="str">
        <f>HYPERLINK("https://tools.wmflabs.org/geohack/geohack.php?params=39.9455_N_29.7234_E_type:city","39.9455°N 29.7234°E")</f>
        <v>39.9455°N 29.7234°E</v>
      </c>
      <c r="D45" s="7" t="s">
        <v>1210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35">
      <c r="A46" s="2" t="s">
        <v>879</v>
      </c>
      <c r="B46" s="2" t="s">
        <v>161</v>
      </c>
      <c r="C46" s="7" t="str">
        <f>HYPERLINK("https://tools.wmflabs.org/geohack/geohack.php?params=40.0238_N_29.7169_E_type:city","40.0238°N 29.7169°E")</f>
        <v>40.0238°N 29.7169°E</v>
      </c>
      <c r="D46" s="7" t="s">
        <v>1210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35">
      <c r="A47" s="2" t="s">
        <v>880</v>
      </c>
      <c r="B47" s="2" t="s">
        <v>164</v>
      </c>
      <c r="C47" s="7" t="str">
        <f>HYPERLINK("https://tools.wmflabs.org/geohack/geohack.php?params=39.9668_N_29.6271_E_type:city","39.9668°N 29.6271°E")</f>
        <v>39.9668°N 29.6271°E</v>
      </c>
      <c r="D47" s="7" t="s">
        <v>1210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35">
      <c r="A48" s="2" t="s">
        <v>881</v>
      </c>
      <c r="B48" s="2" t="s">
        <v>168</v>
      </c>
      <c r="C48" s="7" t="str">
        <f>HYPERLINK("https://tools.wmflabs.org/geohack/geohack.php?params=40.1577_N_29.4329_E_type:city","40.1577°N 29.4329°E")</f>
        <v>40.1577°N 29.4329°E</v>
      </c>
      <c r="D48" s="7" t="s">
        <v>1211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35">
      <c r="A49" s="2" t="s">
        <v>882</v>
      </c>
      <c r="B49" s="2" t="s">
        <v>172</v>
      </c>
      <c r="C49" s="7" t="str">
        <f>HYPERLINK("https://tools.wmflabs.org/geohack/geohack.php?params=40.0214_N_29.6005_E_type:city","40.0214°N 29.6005°E")</f>
        <v>40.0214°N 29.6005°E</v>
      </c>
      <c r="D49" s="7" t="s">
        <v>1210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35">
      <c r="A50" s="2" t="s">
        <v>883</v>
      </c>
      <c r="B50" s="2" t="s">
        <v>175</v>
      </c>
      <c r="C50" s="7" t="str">
        <f>HYPERLINK("https://tools.wmflabs.org/geohack/geohack.php?params=39.9633_N_29.5120_E_type:city","39.9633°N 29.5120°E")</f>
        <v>39.9633°N 29.5120°E</v>
      </c>
      <c r="D50" s="7" t="s">
        <v>1210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35">
      <c r="A51" s="2" t="s">
        <v>884</v>
      </c>
      <c r="B51" s="2" t="s">
        <v>179</v>
      </c>
      <c r="C51" s="7" t="str">
        <f>HYPERLINK("https://tools.wmflabs.org/geohack/geohack.php?params=40.0055_N_29.7391_E_type:city","40.0055°N 29.7391°E")</f>
        <v>40.0055°N 29.7391°E</v>
      </c>
      <c r="D51" s="7" t="s">
        <v>1210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35">
      <c r="A52" s="2" t="s">
        <v>885</v>
      </c>
      <c r="B52" s="2" t="s">
        <v>182</v>
      </c>
      <c r="C52" s="7" t="str">
        <f>HYPERLINK("https://tools.wmflabs.org/geohack/geohack.php?params=40.1368_N_29.5253_E_type:city","40.1368°N 29.5253°E")</f>
        <v>40.1368°N 29.5253°E</v>
      </c>
      <c r="D52" s="7" t="s">
        <v>1210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35">
      <c r="A53" s="2" t="s">
        <v>886</v>
      </c>
      <c r="B53" s="2" t="s">
        <v>186</v>
      </c>
      <c r="C53" s="7" t="str">
        <f>HYPERLINK("https://tools.wmflabs.org/geohack/geohack.php?params=40.0564_N_29.5981_E_type:city","40.0564°N 29.5981°E")</f>
        <v>40.0564°N 29.5981°E</v>
      </c>
      <c r="D53" s="7" t="s">
        <v>1210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35">
      <c r="A54" s="2" t="s">
        <v>887</v>
      </c>
      <c r="B54" s="2" t="s">
        <v>189</v>
      </c>
      <c r="C54" s="7" t="str">
        <f>HYPERLINK("https://tools.wmflabs.org/geohack/geohack.php?params=39.9673_N_29.5545_E_type:city","39.9673°N 29.5545°E")</f>
        <v>39.9673°N 29.5545°E</v>
      </c>
      <c r="D54" s="7" t="s">
        <v>1210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35">
      <c r="A55" s="2" t="s">
        <v>888</v>
      </c>
      <c r="B55" s="2" t="s">
        <v>193</v>
      </c>
      <c r="C55" s="7" t="str">
        <f>HYPERLINK("https://tools.wmflabs.org/geohack/geohack.php?params=39.9519_N_29.5977_E_type:city","39.9519°N 29.5977°E")</f>
        <v>39.9519°N 29.5977°E</v>
      </c>
      <c r="D55" s="7" t="s">
        <v>1210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35">
      <c r="A56" s="2" t="s">
        <v>889</v>
      </c>
      <c r="B56" s="2" t="s">
        <v>197</v>
      </c>
      <c r="C56" s="7" t="str">
        <f>HYPERLINK("https://tools.wmflabs.org/geohack/geohack.php?params=40.0550_N_29.4756_E_type:city","40.0550°N 29.4756°E")</f>
        <v>40.0550°N 29.4756°E</v>
      </c>
      <c r="D56" s="7" t="s">
        <v>1211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35">
      <c r="A57" s="2" t="s">
        <v>890</v>
      </c>
      <c r="B57" s="2" t="s">
        <v>201</v>
      </c>
      <c r="C57" s="7" t="str">
        <f>HYPERLINK("https://tools.wmflabs.org/geohack/geohack.php?params=40.1184_N_29.4507_E_type:city","40.1184°N 29.4507°E")</f>
        <v>40.1184°N 29.4507°E</v>
      </c>
      <c r="D57" s="7" t="s">
        <v>1211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35">
      <c r="A58" s="2" t="s">
        <v>891</v>
      </c>
      <c r="B58" s="2" t="s">
        <v>204</v>
      </c>
      <c r="C58" s="7" t="str">
        <f>HYPERLINK("https://tools.wmflabs.org/geohack/geohack.php?params=39.9856_N_29.4807_E_type:city","39.9856°N 29.4807°E")</f>
        <v>39.9856°N 29.4807°E</v>
      </c>
      <c r="D58" s="7" t="s">
        <v>1211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35">
      <c r="A59" s="2" t="s">
        <v>892</v>
      </c>
      <c r="B59" s="2" t="s">
        <v>171</v>
      </c>
      <c r="C59" s="7" t="str">
        <f>HYPERLINK("https://tools.wmflabs.org/geohack/geohack.php?params=39.9774_N_29.6759_E_type:city","39.9774°N 29.6759°E")</f>
        <v>39.9774°N 29.6759°E</v>
      </c>
      <c r="D59" s="7" t="s">
        <v>1210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35">
      <c r="A60" s="2" t="s">
        <v>893</v>
      </c>
      <c r="B60" s="2" t="s">
        <v>211</v>
      </c>
      <c r="C60" s="7" t="str">
        <f>HYPERLINK("https://tools.wmflabs.org/geohack/geohack.php?params=40.0374_N_29.5069_E_type:city","40.0374°N 29.5069°E")</f>
        <v>40.0374°N 29.5069°E</v>
      </c>
      <c r="D60" s="7" t="s">
        <v>1210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35">
      <c r="A61" s="2" t="s">
        <v>894</v>
      </c>
      <c r="B61" s="2" t="s">
        <v>215</v>
      </c>
      <c r="C61" s="7" t="str">
        <f>HYPERLINK("https://tools.wmflabs.org/geohack/geohack.php?params=40.1816_N_29.4426_E_type:city","40.1816°N 29.4426°E")</f>
        <v>40.1816°N 29.4426°E</v>
      </c>
      <c r="D61" s="7" t="s">
        <v>1211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35">
      <c r="A62" s="2" t="s">
        <v>895</v>
      </c>
      <c r="B62" s="2" t="s">
        <v>217</v>
      </c>
      <c r="C62" s="7" t="str">
        <f>HYPERLINK("https://tools.wmflabs.org/geohack/geohack.php?params=40.0915_N_29.7148_E_type:city","40.0915°N 29.7148°E")</f>
        <v>40.0915°N 29.7148°E</v>
      </c>
      <c r="D62" s="7" t="s">
        <v>1210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35">
      <c r="A63" s="2" t="s">
        <v>896</v>
      </c>
      <c r="B63" s="2" t="s">
        <v>221</v>
      </c>
      <c r="C63" s="7" t="str">
        <f>HYPERLINK("https://tools.wmflabs.org/geohack/geohack.php?params=40.0198_N_29.5061_E_type:city","40.0198°N 29.5061°E")</f>
        <v>40.0198°N 29.5061°E</v>
      </c>
      <c r="D63" s="7" t="s">
        <v>1210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35">
      <c r="A64" s="2" t="s">
        <v>897</v>
      </c>
      <c r="B64" s="2" t="s">
        <v>224</v>
      </c>
      <c r="C64" s="7" t="str">
        <f>HYPERLINK("https://tools.wmflabs.org/geohack/geohack.php?params=40.1333_N_29.4833_E_type:city","40.1333°N 29.4833°E")</f>
        <v>40.1333°N 29.4833°E</v>
      </c>
      <c r="D64" s="7" t="s">
        <v>1211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35">
      <c r="A65" s="2" t="s">
        <v>898</v>
      </c>
      <c r="B65" s="2" t="s">
        <v>227</v>
      </c>
      <c r="C65" s="7" t="str">
        <f>HYPERLINK("https://tools.wmflabs.org/geohack/geohack.php?params=40.0515_N_29.3768_E_type:city","40.0515°N 29.3768°E")</f>
        <v>40.0515°N 29.3768°E</v>
      </c>
      <c r="D65" s="7" t="s">
        <v>1211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35">
      <c r="A66" s="2" t="s">
        <v>899</v>
      </c>
      <c r="B66" s="2" t="s">
        <v>231</v>
      </c>
      <c r="C66" s="7" t="str">
        <f>HYPERLINK("https://tools.wmflabs.org/geohack/geohack.php?params=40.0734_N_29.5027_E_type:city","40.0734°N 29.5027°E")</f>
        <v>40.0734°N 29.5027°E</v>
      </c>
      <c r="D66" s="7" t="s">
        <v>1210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35">
      <c r="A67" s="2" t="s">
        <v>900</v>
      </c>
      <c r="B67" s="2" t="s">
        <v>234</v>
      </c>
      <c r="C67" s="7" t="str">
        <f>HYPERLINK("https://tools.wmflabs.org/geohack/geohack.php?params=40.0106_N_29.4994_E_type:city","40.0106°N 29.4994°E")</f>
        <v>40.0106°N 29.4994°E</v>
      </c>
      <c r="D67" s="7" t="s">
        <v>1211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35">
      <c r="A68" s="2" t="s">
        <v>901</v>
      </c>
      <c r="B68" s="2" t="s">
        <v>238</v>
      </c>
      <c r="C68" s="7" t="str">
        <f>HYPERLINK("https://tools.wmflabs.org/geohack/geohack.php?params=40.0195_N_29.6573_E_type:city","40.0195°N 29.6573°E")</f>
        <v>40.0195°N 29.6573°E</v>
      </c>
      <c r="D68" s="7" t="s">
        <v>1210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35">
      <c r="A69" s="2" t="s">
        <v>902</v>
      </c>
      <c r="B69" s="2" t="s">
        <v>242</v>
      </c>
      <c r="C69" s="7" t="str">
        <f>HYPERLINK("https://tools.wmflabs.org/geohack/geohack.php?params=40.0592_N_29.3640_E_type:city","40.0592°N 29.3640°E")</f>
        <v>40.0592°N 29.3640°E</v>
      </c>
      <c r="D69" s="7" t="s">
        <v>1211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35">
      <c r="A70" s="2" t="s">
        <v>903</v>
      </c>
      <c r="B70" s="2" t="s">
        <v>244</v>
      </c>
      <c r="C70" s="7" t="str">
        <f>HYPERLINK("https://tools.wmflabs.org/geohack/geohack.php?params=39.9958_N_29.6923_E_type:city","39.9958°N 29.6923°E")</f>
        <v>39.9958°N 29.6923°E</v>
      </c>
      <c r="D70" s="7" t="s">
        <v>1210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35">
      <c r="A71" s="2" t="s">
        <v>904</v>
      </c>
      <c r="B71" s="2" t="s">
        <v>249</v>
      </c>
      <c r="C71" s="7" t="str">
        <f>HYPERLINK("https://tools.wmflabs.org/geohack/geohack.php?params=39.9811_N_29.5855_E_type:city","39.9811°N 29.5855°E")</f>
        <v>39.9811°N 29.5855°E</v>
      </c>
      <c r="D71" s="7" t="s">
        <v>1210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35">
      <c r="A72" s="2" t="s">
        <v>905</v>
      </c>
      <c r="B72" s="2" t="s">
        <v>252</v>
      </c>
      <c r="C72" s="7" t="str">
        <f>HYPERLINK("https://tools.wmflabs.org/geohack/geohack.php?params=40.1217_N_29.5628_E_type:city","40.1217°N 29.5628°E")</f>
        <v>40.1217°N 29.5628°E</v>
      </c>
      <c r="D72" s="7" t="s">
        <v>1210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35">
      <c r="A73" s="2" t="s">
        <v>906</v>
      </c>
      <c r="B73" s="2" t="s">
        <v>256</v>
      </c>
      <c r="C73" s="7" t="str">
        <f>HYPERLINK("https://tools.wmflabs.org/geohack/geohack.php?params=40.0781_N_29.5722_E_type:city","40.0781°N 29.5722°E")</f>
        <v>40.0781°N 29.5722°E</v>
      </c>
      <c r="D73" s="7" t="s">
        <v>1210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35">
      <c r="A74" s="2" t="s">
        <v>907</v>
      </c>
      <c r="B74" s="2" t="s">
        <v>259</v>
      </c>
      <c r="C74" s="7" t="str">
        <f>HYPERLINK("https://tools.wmflabs.org/geohack/geohack.php?params=40.0336_N_29.6647_E_type:city","40.0336°N 29.6647°E")</f>
        <v>40.0336°N 29.6647°E</v>
      </c>
      <c r="D74" s="7" t="s">
        <v>1210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35">
      <c r="A75" s="2" t="s">
        <v>908</v>
      </c>
      <c r="B75" s="2" t="s">
        <v>263</v>
      </c>
      <c r="C75" s="7" t="str">
        <f>HYPERLINK("https://tools.wmflabs.org/geohack/geohack.php?params=40.0485_N_29.6466_E_type:city","40.0485°N 29.6466°E")</f>
        <v>40.0485°N 29.6466°E</v>
      </c>
      <c r="D75" s="7" t="s">
        <v>1210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35">
      <c r="A76" s="2" t="s">
        <v>909</v>
      </c>
      <c r="B76" s="2" t="s">
        <v>265</v>
      </c>
      <c r="C76" s="7" t="str">
        <f>HYPERLINK("https://tools.wmflabs.org/geohack/geohack.php?params=39.9974_N_29.4385_E_type:city","39.9974°N 29.4385°E")</f>
        <v>39.9974°N 29.4385°E</v>
      </c>
      <c r="D76" s="7" t="s">
        <v>1211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35">
      <c r="A77" s="2" t="s">
        <v>910</v>
      </c>
      <c r="B77" s="2" t="s">
        <v>268</v>
      </c>
      <c r="C77" s="7" t="str">
        <f>HYPERLINK("https://tools.wmflabs.org/geohack/geohack.php?params=39.9885_N_29.5349_E_type:city","39.9885°N 29.5349°E")</f>
        <v>39.9885°N 29.5349°E</v>
      </c>
      <c r="D77" s="7" t="s">
        <v>1210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35">
      <c r="A78" s="2" t="s">
        <v>911</v>
      </c>
      <c r="B78" s="2" t="s">
        <v>270</v>
      </c>
      <c r="C78" s="7" t="str">
        <f>HYPERLINK("https://tools.wmflabs.org/geohack/geohack.php?params=40.0713_N_29.5215_E_type:city","40.0713°N 29.5215°E")</f>
        <v>40.0713°N 29.5215°E</v>
      </c>
      <c r="D78" s="7" t="s">
        <v>1210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35">
      <c r="A79" s="2" t="s">
        <v>912</v>
      </c>
      <c r="B79" s="2" t="s">
        <v>273</v>
      </c>
      <c r="C79" s="7" t="str">
        <f>HYPERLINK("https://tools.wmflabs.org/geohack/geohack.php?params=40.0833_N_29.5333_E_type:city","40.0833°N 29.5333°E")</f>
        <v>40.0833°N 29.5333°E</v>
      </c>
      <c r="D79" s="7" t="s">
        <v>1210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35">
      <c r="A80" s="2" t="s">
        <v>913</v>
      </c>
      <c r="B80" s="2" t="s">
        <v>276</v>
      </c>
      <c r="C80" s="7" t="str">
        <f>HYPERLINK("https://tools.wmflabs.org/geohack/geohack.php?params=39.9303_N_29.7154_E_type:city","39.9303°N 29.7154°E")</f>
        <v>39.9303°N 29.7154°E</v>
      </c>
      <c r="D80" s="7" t="s">
        <v>1210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35">
      <c r="A81" s="2" t="s">
        <v>914</v>
      </c>
      <c r="B81" s="2" t="s">
        <v>279</v>
      </c>
      <c r="C81" s="7" t="str">
        <f>HYPERLINK("https://tools.wmflabs.org/geohack/geohack.php?params=39.9896_N_29.5691_E_type:city","39.9896°N 29.5691°E")</f>
        <v>39.9896°N 29.5691°E</v>
      </c>
      <c r="D81" s="7" t="s">
        <v>1210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35">
      <c r="A82" s="2" t="s">
        <v>915</v>
      </c>
      <c r="B82" s="2" t="s">
        <v>281</v>
      </c>
      <c r="C82" s="7" t="str">
        <f>HYPERLINK("https://tools.wmflabs.org/geohack/geohack.php?params=40.1007_N_29.6483_E_type:city","40.1007°N 29.6483°E")</f>
        <v>40.1007°N 29.6483°E</v>
      </c>
      <c r="D82" s="7" t="s">
        <v>1210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35">
      <c r="A83" s="2" t="s">
        <v>916</v>
      </c>
      <c r="B83" s="2" t="s">
        <v>284</v>
      </c>
      <c r="C83" s="7" t="str">
        <f>HYPERLINK("https://tools.wmflabs.org/geohack/geohack.php?params=40.1029_N_29.5244_E_type:city","40.1029°N 29.5244°E")</f>
        <v>40.1029°N 29.5244°E</v>
      </c>
      <c r="D83" s="7" t="s">
        <v>1210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35">
      <c r="A84" s="2" t="s">
        <v>917</v>
      </c>
      <c r="B84" s="2" t="s">
        <v>287</v>
      </c>
      <c r="C84" s="7" t="str">
        <f>HYPERLINK("https://tools.wmflabs.org/geohack/geohack.php?params=40.0244_N_29.5697_E_type:city","40.0244°N 29.5697°E")</f>
        <v>40.0244°N 29.5697°E</v>
      </c>
      <c r="D84" s="7" t="s">
        <v>1210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35">
      <c r="A85" s="2" t="s">
        <v>918</v>
      </c>
      <c r="B85" s="2" t="s">
        <v>289</v>
      </c>
      <c r="C85" s="7" t="str">
        <f>HYPERLINK("https://tools.wmflabs.org/geohack/geohack.php?params=39.9516_N_29.6955_E_type:city","39.9516°N 29.6955°E")</f>
        <v>39.9516°N 29.6955°E</v>
      </c>
      <c r="D85" s="7" t="s">
        <v>1210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35">
      <c r="A86" s="2" t="s">
        <v>919</v>
      </c>
      <c r="B86" s="2" t="s">
        <v>291</v>
      </c>
      <c r="C86" s="7" t="str">
        <f>HYPERLINK("https://tools.wmflabs.org/geohack/geohack.php?params=39.9514_N_29.6949_E_type:city","39.9514°N 29.6949°E")</f>
        <v>39.9514°N 29.6949°E</v>
      </c>
      <c r="D86" s="7" t="s">
        <v>1210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35">
      <c r="A87" s="2" t="s">
        <v>920</v>
      </c>
      <c r="B87" s="2" t="s">
        <v>254</v>
      </c>
      <c r="C87" s="7" t="str">
        <f>HYPERLINK("https://tools.wmflabs.org/geohack/geohack.php?params=40.0189_N_29.6637_E_type:city","40.0189°N 29.6637°E")</f>
        <v>40.0189°N 29.6637°E</v>
      </c>
      <c r="D87" s="7" t="s">
        <v>1210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35">
      <c r="A88" s="2" t="s">
        <v>921</v>
      </c>
      <c r="B88" s="2" t="s">
        <v>294</v>
      </c>
      <c r="C88" s="7" t="str">
        <f>HYPERLINK("https://tools.wmflabs.org/geohack/geohack.php?params=40.0327_N_29.4123_E_type:city","40.0327°N 29.4123°E")</f>
        <v>40.0327°N 29.4123°E</v>
      </c>
      <c r="D88" s="7" t="s">
        <v>1211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5">
      <c r="A89" s="2" t="s">
        <v>922</v>
      </c>
      <c r="B89" s="2" t="s">
        <v>296</v>
      </c>
      <c r="C89" s="7" t="str">
        <f>HYPERLINK("https://tools.wmflabs.org/geohack/geohack.php?params=39.9642_N_29.6571_E_type:city","39.9642°N 29.6571°E")</f>
        <v>39.9642°N 29.6571°E</v>
      </c>
      <c r="D89" s="7" t="s">
        <v>1210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35">
      <c r="A90" s="2" t="s">
        <v>923</v>
      </c>
      <c r="B90" s="2" t="s">
        <v>298</v>
      </c>
      <c r="C90" s="7" t="str">
        <f>HYPERLINK("https://tools.wmflabs.org/geohack/geohack.php?params=39.9314_N_29.5774_E_type:city","39.9314°N 29.5774°E")</f>
        <v>39.9314°N 29.5774°E</v>
      </c>
      <c r="D90" s="7" t="s">
        <v>1210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35">
      <c r="A91" s="2" t="s">
        <v>924</v>
      </c>
      <c r="B91" s="2" t="s">
        <v>300</v>
      </c>
      <c r="C91" s="7" t="str">
        <f>HYPERLINK("https://tools.wmflabs.org/geohack/geohack.php?params=40.0333_N_29.4667_E_type:city","40.0333°N 29.4667°E")</f>
        <v>40.0333°N 29.4667°E</v>
      </c>
      <c r="D91" s="7" t="s">
        <v>1211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35">
      <c r="A92" s="2" t="s">
        <v>925</v>
      </c>
      <c r="B92" s="2" t="s">
        <v>302</v>
      </c>
      <c r="C92" s="7" t="str">
        <f>HYPERLINK("https://tools.wmflabs.org/geohack/geohack.php?params=40.0818_N_29.5132_E_type:city","40.0818°N 29.5132°E")</f>
        <v>40.0818°N 29.5132°E</v>
      </c>
      <c r="D92" s="7" t="s">
        <v>1210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35">
      <c r="A93" s="2" t="s">
        <v>926</v>
      </c>
      <c r="B93" s="2" t="s">
        <v>304</v>
      </c>
      <c r="C93" s="7" t="str">
        <f>HYPERLINK("https://tools.wmflabs.org/geohack/geohack.php?params=39.9967_N_29.5185_E_type:city","39.9967°N 29.5185°E")</f>
        <v>39.9967°N 29.5185°E</v>
      </c>
      <c r="D93" s="7" t="s">
        <v>1210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35">
      <c r="A94" s="2" t="s">
        <v>927</v>
      </c>
      <c r="B94" s="2" t="s">
        <v>306</v>
      </c>
      <c r="C94" s="7" t="str">
        <f>HYPERLINK("https://tools.wmflabs.org/geohack/geohack.php?params=40.0399_N_29.3999_E_type:city","40.0399°N 29.3999°E")</f>
        <v>40.0399°N 29.3999°E</v>
      </c>
      <c r="D94" s="7" t="s">
        <v>1211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35">
      <c r="A95" s="2" t="s">
        <v>928</v>
      </c>
      <c r="B95" s="2" t="s">
        <v>307</v>
      </c>
      <c r="C95" s="7" t="str">
        <f>HYPERLINK("https://tools.wmflabs.org/geohack/geohack.php?params=40.0800_N_29.5290_E_type:city","40.0800°N 29.5290°E")</f>
        <v>40.0800°N 29.5290°E</v>
      </c>
      <c r="D95" s="7" t="s">
        <v>1210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35">
      <c r="A96" s="2" t="s">
        <v>929</v>
      </c>
      <c r="B96" s="2" t="s">
        <v>309</v>
      </c>
      <c r="C96" s="7" t="str">
        <f>HYPERLINK("https://tools.wmflabs.org/geohack/geohack.php?params=39.9284_N_29.7015_E_type:city","39.9284°N 29.7015°E")</f>
        <v>39.9284°N 29.7015°E</v>
      </c>
      <c r="D96" s="7" t="s">
        <v>1210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35">
      <c r="A97" s="2" t="s">
        <v>930</v>
      </c>
      <c r="B97" s="2" t="s">
        <v>311</v>
      </c>
      <c r="C97" s="7" t="str">
        <f>HYPERLINK("https://tools.wmflabs.org/geohack/geohack.php?params=39.9769_N_29.7148_E_type:city","39.9769°N 29.7148°E")</f>
        <v>39.9769°N 29.7148°E</v>
      </c>
      <c r="D97" s="7" t="s">
        <v>1210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35">
      <c r="A98" s="2" t="s">
        <v>931</v>
      </c>
      <c r="B98" s="2" t="s">
        <v>312</v>
      </c>
      <c r="C98" s="7" t="str">
        <f>HYPERLINK("https://tools.wmflabs.org/geohack/geohack.php?params=40.0893_N_29.6931_E_type:city","40.0893°N 29.6931°E")</f>
        <v>40.0893°N 29.6931°E</v>
      </c>
      <c r="D98" s="7" t="s">
        <v>1210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35">
      <c r="A99" s="2" t="s">
        <v>932</v>
      </c>
      <c r="B99" s="2" t="s">
        <v>313</v>
      </c>
      <c r="C99" s="7" t="str">
        <f>HYPERLINK("https://tools.wmflabs.org/geohack/geohack.php?params=40.1833_N_29.4833_E_type:city","40.1833°N 29.4833°E")</f>
        <v>40.1833°N 29.4833°E</v>
      </c>
      <c r="D99" s="7" t="s">
        <v>1211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35">
      <c r="A100" s="2" t="s">
        <v>933</v>
      </c>
      <c r="B100" s="2" t="s">
        <v>315</v>
      </c>
      <c r="C100" s="7" t="str">
        <f>HYPERLINK("https://tools.wmflabs.org/geohack/geohack.php?params=40.0734_N_29.6218_E_type:city","40.0734°N 29.6218°E")</f>
        <v>40.0734°N 29.6218°E</v>
      </c>
      <c r="D100" s="7" t="s">
        <v>1210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5">
      <c r="A101" s="2" t="s">
        <v>934</v>
      </c>
      <c r="B101" s="2" t="s">
        <v>317</v>
      </c>
      <c r="C101" s="7" t="str">
        <f>HYPERLINK("https://tools.wmflabs.org/geohack/geohack.php?params=40.1450_N_29.4208_E_type:city","40.1450°N 29.4208°E")</f>
        <v>40.1450°N 29.4208°E</v>
      </c>
      <c r="D101" s="7" t="s">
        <v>1211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35">
      <c r="A102" s="2" t="s">
        <v>935</v>
      </c>
      <c r="B102" s="2" t="s">
        <v>319</v>
      </c>
      <c r="C102" s="7" t="str">
        <f>HYPERLINK("https://tools.wmflabs.org/geohack/geohack.php?params=40.0918_N_29.5591_E_type:city","40.0918°N 29.5591°E")</f>
        <v>40.0918°N 29.5591°E</v>
      </c>
      <c r="D102" s="7" t="s">
        <v>1210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5">
      <c r="A103" s="2" t="s">
        <v>936</v>
      </c>
      <c r="B103" s="2" t="s">
        <v>321</v>
      </c>
      <c r="C103" s="7" t="str">
        <f>HYPERLINK("https://tools.wmflabs.org/geohack/geohack.php?params=39.9500_N_29.6500_E_type:city","39.9500°N 29.6500°E")</f>
        <v>39.9500°N 29.6500°E</v>
      </c>
      <c r="D103" s="7" t="s">
        <v>1210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5">
      <c r="A104" s="2" t="s">
        <v>937</v>
      </c>
      <c r="B104" s="2" t="s">
        <v>323</v>
      </c>
      <c r="C104" s="7" t="str">
        <f>HYPERLINK("https://tools.wmflabs.org/geohack/geohack.php?params=40.1166_N_29.6787_E_type:city","40.1166°N 29.6787°E")</f>
        <v>40.1166°N 29.6787°E</v>
      </c>
      <c r="D104" s="7" t="s">
        <v>1210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35">
      <c r="A105" s="2" t="s">
        <v>938</v>
      </c>
      <c r="B105" s="2" t="s">
        <v>325</v>
      </c>
      <c r="C105" s="7" t="str">
        <f>HYPERLINK("https://tools.wmflabs.org/geohack/geohack.php?params=40.1355_N_29.5430_E_type:city","40.1355°N 29.5430°E")</f>
        <v>40.1355°N 29.5430°E</v>
      </c>
      <c r="D105" s="7" t="s">
        <v>1210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5">
      <c r="A106" s="2" t="s">
        <v>939</v>
      </c>
      <c r="B106" s="2" t="s">
        <v>327</v>
      </c>
      <c r="C106" s="7" t="str">
        <f>HYPERLINK("https://tools.wmflabs.org/geohack/geohack.php?params=39.9417_N_29.6719_E_type:city","39.9417°N 29.6719°E")</f>
        <v>39.9417°N 29.6719°E</v>
      </c>
      <c r="D106" s="7" t="s">
        <v>1210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35">
      <c r="A107" s="2" t="s">
        <v>940</v>
      </c>
      <c r="B107" s="2" t="s">
        <v>328</v>
      </c>
      <c r="C107" s="7" t="str">
        <f>HYPERLINK("https://tools.wmflabs.org/geohack/geohack.php?params=40.0456_N_29.3880_E_type:city","40.0456°N 29.3880°E")</f>
        <v>40.0456°N 29.3880°E</v>
      </c>
      <c r="D107" s="7" t="s">
        <v>1211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5">
      <c r="A108" s="2" t="s">
        <v>941</v>
      </c>
      <c r="B108" s="2" t="s">
        <v>330</v>
      </c>
      <c r="C108" s="7" t="str">
        <f>HYPERLINK("https://tools.wmflabs.org/geohack/geohack.php?params=40.0490_N_29.3900_E_type:city","40.0490°N 29.3900°E")</f>
        <v>40.0490°N 29.3900°E</v>
      </c>
      <c r="D108" s="7" t="s">
        <v>1211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5">
      <c r="A109" s="2" t="s">
        <v>942</v>
      </c>
      <c r="B109" s="2" t="s">
        <v>332</v>
      </c>
      <c r="C109" s="7" t="str">
        <f>HYPERLINK("https://tools.wmflabs.org/geohack/geohack.php?params=40.0107_N_29.4134_E_type:city","40.0107°N 29.4134°E")</f>
        <v>40.0107°N 29.4134°E</v>
      </c>
      <c r="D109" s="7" t="s">
        <v>1211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35">
      <c r="A110" s="2" t="s">
        <v>943</v>
      </c>
      <c r="B110" s="2" t="s">
        <v>334</v>
      </c>
      <c r="C110" s="7" t="str">
        <f>HYPERLINK("https://tools.wmflabs.org/geohack/geohack.php?params=40.0740_N_29.5000_E_type:city","40.0740°N 29.5000°E")</f>
        <v>40.0740°N 29.5000°E</v>
      </c>
      <c r="D110" s="7" t="s">
        <v>1211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35">
      <c r="A111" s="2" t="s">
        <v>944</v>
      </c>
      <c r="B111" s="2" t="s">
        <v>337</v>
      </c>
      <c r="C111" s="7" t="str">
        <f>HYPERLINK("https://tools.wmflabs.org/geohack/geohack.php?params=40.0720_N_29.5200_E_type:city","40.0720°N 29.5200°E")</f>
        <v>40.0720°N 29.5200°E</v>
      </c>
      <c r="D111" s="7" t="s">
        <v>1210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35">
      <c r="A112" s="2" t="s">
        <v>945</v>
      </c>
      <c r="B112" s="2" t="s">
        <v>339</v>
      </c>
      <c r="C112" s="7" t="str">
        <f>HYPERLINK("https://tools.wmflabs.org/geohack/geohack.php?params=40.0878_N_29.4219_E_type:city","40.0878°N 29.4219°E")</f>
        <v>40.0878°N 29.4219°E</v>
      </c>
      <c r="D112" s="7" t="s">
        <v>1211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5">
      <c r="A113" s="2" t="s">
        <v>946</v>
      </c>
      <c r="B113" s="2" t="s">
        <v>340</v>
      </c>
      <c r="C113" s="7" t="str">
        <f>HYPERLINK("https://tools.wmflabs.org/geohack/geohack.php?params=39.9796_N_29.6622_E_type:city","39.9796°N 29.6622°E")</f>
        <v>39.9796°N 29.6622°E</v>
      </c>
      <c r="D113" s="7" t="s">
        <v>1210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5">
      <c r="A114" s="2" t="s">
        <v>947</v>
      </c>
      <c r="B114" s="2" t="s">
        <v>342</v>
      </c>
      <c r="C114" s="7" t="str">
        <f>HYPERLINK("https://tools.wmflabs.org/geohack/geohack.php?params=40.1465_N_29.5958_E_type:city","40.1465°N 29.5958°E")</f>
        <v>40.1465°N 29.5958°E</v>
      </c>
      <c r="D114" s="7" t="s">
        <v>1210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5">
      <c r="A115" s="2" t="s">
        <v>948</v>
      </c>
      <c r="B115" s="2" t="s">
        <v>344</v>
      </c>
      <c r="C115" s="7" t="str">
        <f>HYPERLINK("https://tools.wmflabs.org/geohack/geohack.php?params=40.0784_N_29.6041_E_type:city","40.0784°N 29.6041°E")</f>
        <v>40.0784°N 29.6041°E</v>
      </c>
      <c r="D115" s="7" t="s">
        <v>1210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5">
      <c r="A116" s="2" t="s">
        <v>949</v>
      </c>
      <c r="B116" s="2" t="s">
        <v>346</v>
      </c>
      <c r="C116" s="7" t="str">
        <f>HYPERLINK("https://tools.wmflabs.org/geohack/geohack.php?params=39.9859_N_29.6418_E_type:city","39.9859°N 29.6418°E")</f>
        <v>39.9859°N 29.6418°E</v>
      </c>
      <c r="D116" s="7" t="s">
        <v>1210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5">
      <c r="A117" s="2" t="s">
        <v>950</v>
      </c>
      <c r="B117" s="2" t="s">
        <v>253</v>
      </c>
      <c r="C117" s="7" t="str">
        <f>HYPERLINK("https://tools.wmflabs.org/geohack/geohack.php?params=40.1085_N_29.5185_E_type:city","40.1085°N 29.5185°E")</f>
        <v>40.1085°N 29.5185°E</v>
      </c>
      <c r="D117" s="7" t="s">
        <v>1210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7" type="noConversion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zoomScale="80" zoomScaleNormal="80" workbookViewId="0">
      <pane ySplit="1" topLeftCell="A2" activePane="bottomLeft" state="frozen"/>
      <selection pane="bottomLeft" activeCell="D1" sqref="D1:D1048576"/>
    </sheetView>
  </sheetViews>
  <sheetFormatPr defaultColWidth="20.6328125" defaultRowHeight="15" customHeight="1" x14ac:dyDescent="0.35"/>
  <cols>
    <col min="1" max="1" width="10.6328125" customWidth="1"/>
  </cols>
  <sheetData>
    <row r="1" spans="1:27" ht="14.5" x14ac:dyDescent="0.35">
      <c r="A1" s="4" t="s">
        <v>563</v>
      </c>
      <c r="B1" s="4" t="s">
        <v>0</v>
      </c>
      <c r="C1" s="4" t="s">
        <v>1</v>
      </c>
      <c r="D1" s="4" t="s">
        <v>1185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4.5" x14ac:dyDescent="0.35">
      <c r="A2" s="9" t="s">
        <v>951</v>
      </c>
      <c r="B2" s="9" t="s">
        <v>378</v>
      </c>
      <c r="C2" s="8" t="str">
        <f>HYPERLINK("https://tools.wmflabs.org/geohack/geohack.php?params=40.3072_N_29.6595_E_type:city","40.3072°N 29.6595°E")</f>
        <v>40.3072°N 29.6595°E</v>
      </c>
      <c r="D2" s="8" t="s">
        <v>1212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5" x14ac:dyDescent="0.35">
      <c r="A3" s="9" t="s">
        <v>952</v>
      </c>
      <c r="B3" s="9" t="s">
        <v>379</v>
      </c>
      <c r="C3" s="8" t="str">
        <f>HYPERLINK("https://tools.wmflabs.org/geohack/geohack.php?params=40.1508_N_29.6569_E_type:city","40.1508°N 29.6569°E")</f>
        <v>40.1508°N 29.6569°E</v>
      </c>
      <c r="D3" s="8" t="s">
        <v>1212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4.5" x14ac:dyDescent="0.35">
      <c r="A4" s="9" t="s">
        <v>953</v>
      </c>
      <c r="B4" s="9" t="s">
        <v>380</v>
      </c>
      <c r="C4" s="8" t="str">
        <f>HYPERLINK("https://tools.wmflabs.org/geohack/geohack.php?params=40.1690_N_29.5836_E_type:city","40.1690°N 29.5836°E")</f>
        <v>40.1690°N 29.5836°E</v>
      </c>
      <c r="D4" s="8" t="s">
        <v>1212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5" x14ac:dyDescent="0.35">
      <c r="A5" s="9" t="s">
        <v>954</v>
      </c>
      <c r="B5" s="9" t="s">
        <v>381</v>
      </c>
      <c r="C5" s="8" t="str">
        <f>HYPERLINK("https://tools.wmflabs.org/geohack/geohack.php?params=40.2517_N_29.6997_E_type:city","40.2517°N 29.6997°E")</f>
        <v>40.2517°N 29.6997°E</v>
      </c>
      <c r="D5" s="8" t="s">
        <v>1212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5" x14ac:dyDescent="0.35">
      <c r="A6" s="9" t="s">
        <v>955</v>
      </c>
      <c r="B6" s="9" t="s">
        <v>382</v>
      </c>
      <c r="C6" s="8" t="str">
        <f>HYPERLINK("https://tools.wmflabs.org/geohack/geohack.php?params=40.3181_N_29.6817_E_type:city","40.3181°N 29.6817°E")</f>
        <v>40.3181°N 29.6817°E</v>
      </c>
      <c r="D6" s="8" t="s">
        <v>1212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5" x14ac:dyDescent="0.35">
      <c r="A7" s="9" t="s">
        <v>956</v>
      </c>
      <c r="B7" s="9" t="s">
        <v>383</v>
      </c>
      <c r="C7" s="8" t="str">
        <f>HYPERLINK("https://tools.wmflabs.org/geohack/geohack.php?params=40.2001_N_29.5728_E_type:city","40.2001°N 29.5728°E")</f>
        <v>40.2001°N 29.5728°E</v>
      </c>
      <c r="D7" s="8" t="s">
        <v>1212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5" x14ac:dyDescent="0.35">
      <c r="A8" s="9" t="s">
        <v>957</v>
      </c>
      <c r="B8" s="9" t="s">
        <v>384</v>
      </c>
      <c r="C8" s="8" t="str">
        <f>HYPERLINK("https://tools.wmflabs.org/geohack/geohack.php?params=40.3298_N_29.7381_E_type:city","40.3298°N 29.7381°E")</f>
        <v>40.3298°N 29.7381°E</v>
      </c>
      <c r="D8" s="8" t="s">
        <v>1212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5" x14ac:dyDescent="0.35">
      <c r="A9" s="9" t="s">
        <v>958</v>
      </c>
      <c r="B9" s="9" t="s">
        <v>385</v>
      </c>
      <c r="C9" s="8" t="str">
        <f>HYPERLINK("https://tools.wmflabs.org/geohack/geohack.php?params=40.2992_N_29.6096_E_type:city","40.2992°N 29.6096°E")</f>
        <v>40.2992°N 29.6096°E</v>
      </c>
      <c r="D9" s="8" t="s">
        <v>1212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5" x14ac:dyDescent="0.35">
      <c r="A10" s="9" t="s">
        <v>959</v>
      </c>
      <c r="B10" s="9" t="s">
        <v>386</v>
      </c>
      <c r="C10" s="8" t="str">
        <f>HYPERLINK("https://tools.wmflabs.org/geohack/geohack.php?params=40.3420_N_29.6405_E_type:city","40.3420°N 29.6405°E")</f>
        <v>40.3420°N 29.6405°E</v>
      </c>
      <c r="D10" s="8" t="s">
        <v>1212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5" x14ac:dyDescent="0.35">
      <c r="A11" s="9" t="s">
        <v>960</v>
      </c>
      <c r="B11" s="9" t="s">
        <v>387</v>
      </c>
      <c r="C11" s="8" t="str">
        <f>HYPERLINK("https://tools.wmflabs.org/geohack/geohack.php?params=40.3247_N_29.4224_E_type:city","40.3247°N 29.4224°E")</f>
        <v>40.3247°N 29.4224°E</v>
      </c>
      <c r="D11" s="8" t="s">
        <v>1212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5" x14ac:dyDescent="0.35">
      <c r="A12" s="9" t="s">
        <v>961</v>
      </c>
      <c r="B12" s="9" t="s">
        <v>388</v>
      </c>
      <c r="C12" s="8" t="str">
        <f>HYPERLINK("https://tools.wmflabs.org/geohack/geohack.php?params=40.2551_N_29.7692_E_type:city","40.2551°N 29.7692°E")</f>
        <v>40.2551°N 29.7692°E</v>
      </c>
      <c r="D12" s="8" t="s">
        <v>1212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5" x14ac:dyDescent="0.35">
      <c r="A13" s="9" t="s">
        <v>962</v>
      </c>
      <c r="B13" s="9" t="s">
        <v>389</v>
      </c>
      <c r="C13" s="8" t="str">
        <f>HYPERLINK("https://tools.wmflabs.org/geohack/geohack.php?params=40.2548_N_29.5284_E_type:city","40.2548°N 29.5284°E")</f>
        <v>40.2548°N 29.5284°E</v>
      </c>
      <c r="D13" s="8" t="s">
        <v>1212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4.5" x14ac:dyDescent="0.35">
      <c r="A14" s="9" t="s">
        <v>963</v>
      </c>
      <c r="B14" s="9" t="s">
        <v>390</v>
      </c>
      <c r="C14" s="8" t="str">
        <f>HYPERLINK("https://tools.wmflabs.org/geohack/geohack.php?params=40.2593_N_29.6457_E_type:city","40.2593°N 29.6457°E")</f>
        <v>40.2593°N 29.6457°E</v>
      </c>
      <c r="D14" s="8" t="s">
        <v>1212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5" x14ac:dyDescent="0.35">
      <c r="A15" s="9" t="s">
        <v>964</v>
      </c>
      <c r="B15" s="9" t="s">
        <v>391</v>
      </c>
      <c r="C15" s="8" t="str">
        <f>HYPERLINK("https://tools.wmflabs.org/geohack/geohack.php?params=40.1820_N_29.5560_E_type:city","40.1820°N 29.5560°E")</f>
        <v>40.1820°N 29.5560°E</v>
      </c>
      <c r="D15" s="8" t="s">
        <v>1212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5" x14ac:dyDescent="0.35">
      <c r="A16" s="9" t="s">
        <v>965</v>
      </c>
      <c r="B16" s="9" t="s">
        <v>392</v>
      </c>
      <c r="C16" s="8" t="str">
        <f>HYPERLINK("https://tools.wmflabs.org/geohack/geohack.php?params=40.3045_N_29.7320_E_type:city","40.3045°N 29.7320°E")</f>
        <v>40.3045°N 29.7320°E</v>
      </c>
      <c r="D16" s="8" t="s">
        <v>1212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5" x14ac:dyDescent="0.35">
      <c r="A17" s="9" t="s">
        <v>966</v>
      </c>
      <c r="B17" s="9" t="s">
        <v>79</v>
      </c>
      <c r="C17" s="8" t="str">
        <f>HYPERLINK("https://tools.wmflabs.org/geohack/geohack.php?params=40.2304_N_29.5354_E_type:city","40.2304°N 29.5354°E")</f>
        <v>40.2304°N 29.5354°E</v>
      </c>
      <c r="D17" s="8" t="s">
        <v>1212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5" x14ac:dyDescent="0.35">
      <c r="A18" s="9" t="s">
        <v>967</v>
      </c>
      <c r="B18" s="9" t="s">
        <v>393</v>
      </c>
      <c r="C18" s="8" t="str">
        <f>HYPERLINK("https://tools.wmflabs.org/geohack/geohack.php?params=40.1578_N_29.6921_E_type:city","40.1578°N 29.6921°E")</f>
        <v>40.1578°N 29.6921°E</v>
      </c>
      <c r="D18" s="8" t="s">
        <v>1212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5" x14ac:dyDescent="0.35">
      <c r="A19" s="9" t="s">
        <v>968</v>
      </c>
      <c r="B19" s="9" t="s">
        <v>394</v>
      </c>
      <c r="C19" s="8" t="str">
        <f>HYPERLINK("https://tools.wmflabs.org/geohack/geohack.php?params=40.2757_N_29.6370_E_type:city","40.2757°N 29.6370°E")</f>
        <v>40.2757°N 29.6370°E</v>
      </c>
      <c r="D19" s="8" t="s">
        <v>1212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5" x14ac:dyDescent="0.35">
      <c r="A20" s="9" t="s">
        <v>969</v>
      </c>
      <c r="B20" s="9" t="s">
        <v>395</v>
      </c>
      <c r="C20" s="8" t="str">
        <f>HYPERLINK("https://tools.wmflabs.org/geohack/geohack.php?params=40.3086_N_29.5836_E_type:city","40.3086°N 29.5836°E")</f>
        <v>40.3086°N 29.5836°E</v>
      </c>
      <c r="D20" s="8" t="s">
        <v>1212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.75" customHeight="1" x14ac:dyDescent="0.35">
      <c r="A21" s="9" t="s">
        <v>970</v>
      </c>
      <c r="B21" s="9" t="s">
        <v>396</v>
      </c>
      <c r="C21" s="8" t="str">
        <f>HYPERLINK("https://tools.wmflabs.org/geohack/geohack.php?params=40.3035_N_29.5660_E_type:city","40.3035°N 29.5660°E")</f>
        <v>40.3035°N 29.5660°E</v>
      </c>
      <c r="D21" s="8" t="s">
        <v>1212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.75" customHeight="1" x14ac:dyDescent="0.35">
      <c r="A22" s="9" t="s">
        <v>971</v>
      </c>
      <c r="B22" s="9" t="s">
        <v>397</v>
      </c>
      <c r="C22" s="8" t="str">
        <f>HYPERLINK("https://tools.wmflabs.org/geohack/geohack.php?params=40.2601_N_29.7456_E_type:city","40.2601°N 29.7456°E")</f>
        <v>40.2601°N 29.7456°E</v>
      </c>
      <c r="D22" s="8" t="s">
        <v>1212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.75" customHeight="1" x14ac:dyDescent="0.35">
      <c r="A23" s="9" t="s">
        <v>972</v>
      </c>
      <c r="B23" s="9" t="s">
        <v>398</v>
      </c>
      <c r="C23" s="8" t="str">
        <f>HYPERLINK("https://tools.wmflabs.org/geohack/geohack.php?params=40.3338_N_29.8207_E_type:city","40.3338°N 29.8207°E")</f>
        <v>40.3338°N 29.8207°E</v>
      </c>
      <c r="D23" s="8" t="s">
        <v>1212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75" customHeight="1" x14ac:dyDescent="0.35">
      <c r="A24" s="9" t="s">
        <v>973</v>
      </c>
      <c r="B24" s="9" t="s">
        <v>138</v>
      </c>
      <c r="C24" s="8" t="str">
        <f>HYPERLINK("https://tools.wmflabs.org/geohack/geohack.php?params=40.2915_N_29.4410_E_type:city","40.2915°N 29.4410°E")</f>
        <v>40.2915°N 29.4410°E</v>
      </c>
      <c r="D24" s="8" t="s">
        <v>1212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 customHeight="1" x14ac:dyDescent="0.35">
      <c r="A25" s="9" t="s">
        <v>974</v>
      </c>
      <c r="B25" s="9" t="s">
        <v>399</v>
      </c>
      <c r="C25" s="8" t="str">
        <f>HYPERLINK("https://tools.wmflabs.org/geohack/geohack.php?params=40.1927_N_29.7625_E_type:city","40.1927°N 29.7625°E")</f>
        <v>40.1927°N 29.7625°E</v>
      </c>
      <c r="D25" s="8" t="s">
        <v>1212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 customHeight="1" x14ac:dyDescent="0.35">
      <c r="A26" s="9" t="s">
        <v>975</v>
      </c>
      <c r="B26" s="9" t="s">
        <v>400</v>
      </c>
      <c r="C26" s="8" t="str">
        <f>HYPERLINK("https://tools.wmflabs.org/geohack/geohack.php?params=40.2594_N_29.6806_E_type:city","40.2594°N 29.6806°E")</f>
        <v>40.2594°N 29.6806°E</v>
      </c>
      <c r="D26" s="8" t="s">
        <v>1212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.75" customHeight="1" x14ac:dyDescent="0.35">
      <c r="A27" s="9" t="s">
        <v>976</v>
      </c>
      <c r="B27" s="9" t="s">
        <v>401</v>
      </c>
      <c r="C27" s="8" t="str">
        <f>HYPERLINK("https://tools.wmflabs.org/geohack/geohack.php?params=40.2208_N_29.7334_E_type:city","40.2208°N 29.7334°E")</f>
        <v>40.2208°N 29.7334°E</v>
      </c>
      <c r="D27" s="8" t="s">
        <v>1212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.75" customHeight="1" x14ac:dyDescent="0.35">
      <c r="A28" s="9" t="s">
        <v>977</v>
      </c>
      <c r="B28" s="9" t="s">
        <v>189</v>
      </c>
      <c r="C28" s="8" t="str">
        <f>HYPERLINK("https://tools.wmflabs.org/geohack/geohack.php?params=40.2940_N_29.8213_E_type:city","40.2940°N 29.8213°E")</f>
        <v>40.2940°N 29.8213°E</v>
      </c>
      <c r="D28" s="8" t="s">
        <v>1212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.75" customHeight="1" x14ac:dyDescent="0.35">
      <c r="A29" s="9" t="s">
        <v>978</v>
      </c>
      <c r="B29" s="9" t="s">
        <v>402</v>
      </c>
      <c r="C29" s="8" t="str">
        <f>HYPERLINK("https://tools.wmflabs.org/geohack/geohack.php?params=40.2642_N_29.6489_E_type:city","40.2642°N 29.6489°E")</f>
        <v>40.2642°N 29.6489°E</v>
      </c>
      <c r="D29" s="8" t="s">
        <v>1212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.75" customHeight="1" x14ac:dyDescent="0.35">
      <c r="A30" s="9" t="s">
        <v>979</v>
      </c>
      <c r="B30" s="9" t="s">
        <v>403</v>
      </c>
      <c r="C30" s="8" t="str">
        <f>HYPERLINK("https://tools.wmflabs.org/geohack/geohack.php?params=40.2609_N_29.8114_E_type:city","40.2609°N 29.8114°E")</f>
        <v>40.2609°N 29.8114°E</v>
      </c>
      <c r="D30" s="8" t="s">
        <v>1212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.75" customHeight="1" x14ac:dyDescent="0.35">
      <c r="A31" s="9" t="s">
        <v>980</v>
      </c>
      <c r="B31" s="9" t="s">
        <v>404</v>
      </c>
      <c r="C31" s="8" t="str">
        <f>HYPERLINK("https://tools.wmflabs.org/geohack/geohack.php?params=40.1781_N_29.7215_E_type:city","40.1781°N 29.7215°E")</f>
        <v>40.1781°N 29.7215°E</v>
      </c>
      <c r="D31" s="8" t="s">
        <v>1212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.75" customHeight="1" x14ac:dyDescent="0.35">
      <c r="A32" s="9" t="s">
        <v>981</v>
      </c>
      <c r="B32" s="9" t="s">
        <v>405</v>
      </c>
      <c r="C32" s="8" t="str">
        <f>HYPERLINK("https://tools.wmflabs.org/geohack/geohack.php?params=40.2948_N_29.6996_E_type:city","40.2948°N 29.6996°E")</f>
        <v>40.2948°N 29.6996°E</v>
      </c>
      <c r="D32" s="8" t="s">
        <v>1212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5.75" customHeight="1" x14ac:dyDescent="0.35">
      <c r="A33" s="9" t="s">
        <v>982</v>
      </c>
      <c r="B33" s="9" t="s">
        <v>406</v>
      </c>
      <c r="C33" s="8" t="str">
        <f>HYPERLINK("https://tools.wmflabs.org/geohack/geohack.php?params=40.1887_N_29.5822_E_type:city","40.1887°N 29.5822°E")</f>
        <v>40.1887°N 29.5822°E</v>
      </c>
      <c r="D33" s="8" t="s">
        <v>1212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.75" customHeight="1" x14ac:dyDescent="0.35">
      <c r="A34" s="9" t="s">
        <v>983</v>
      </c>
      <c r="B34" s="9" t="s">
        <v>407</v>
      </c>
      <c r="C34" s="8" t="str">
        <f>HYPERLINK("https://tools.wmflabs.org/geohack/geohack.php?params=40.2927_N_29.5440_E_type:city","40.2927°N 29.5440°E")</f>
        <v>40.2927°N 29.5440°E</v>
      </c>
      <c r="D34" s="8" t="s">
        <v>1212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.75" customHeight="1" x14ac:dyDescent="0.35">
      <c r="A35" s="9" t="s">
        <v>984</v>
      </c>
      <c r="B35" s="9" t="s">
        <v>408</v>
      </c>
      <c r="C35" s="8" t="str">
        <f>HYPERLINK("https://tools.wmflabs.org/geohack/geohack.php?params=40.2744_N_29.5766_E_type:city","40.2744°N 29.5766°E")</f>
        <v>40.2744°N 29.5766°E</v>
      </c>
      <c r="D35" s="8" t="s">
        <v>1212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5.75" customHeight="1" x14ac:dyDescent="0.35">
      <c r="A36" s="9" t="s">
        <v>985</v>
      </c>
      <c r="B36" s="9" t="s">
        <v>409</v>
      </c>
      <c r="C36" s="8" t="str">
        <f>HYPERLINK("https://tools.wmflabs.org/geohack/geohack.php?params=40.2258_N_29.5690_E_type:city","40.2258°N 29.5690°E")</f>
        <v>40.2258°N 29.5690°E</v>
      </c>
      <c r="D36" s="8" t="s">
        <v>1212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5.75" customHeight="1" x14ac:dyDescent="0.35">
      <c r="A37" s="9" t="s">
        <v>986</v>
      </c>
      <c r="B37" s="9" t="s">
        <v>288</v>
      </c>
      <c r="C37" s="8" t="str">
        <f>HYPERLINK("https://tools.wmflabs.org/geohack/geohack.php?params=40.3217_N_29.5188_E_type:city","40.3217°N 29.5188°E")</f>
        <v>40.3217°N 29.5188°E</v>
      </c>
      <c r="D37" s="8" t="s">
        <v>1212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5.75" customHeight="1" x14ac:dyDescent="0.35">
      <c r="A38" s="9" t="s">
        <v>987</v>
      </c>
      <c r="B38" s="9" t="s">
        <v>410</v>
      </c>
      <c r="C38" s="8" t="str">
        <f>HYPERLINK("https://tools.wmflabs.org/geohack/geohack.php?params=40.3457_N_29.6023_E_type:city","40.3457°N 29.6023°E")</f>
        <v>40.3457°N 29.6023°E</v>
      </c>
      <c r="D38" s="8" t="s">
        <v>1212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5.75" customHeight="1" x14ac:dyDescent="0.35">
      <c r="A39" s="9" t="s">
        <v>988</v>
      </c>
      <c r="B39" s="9" t="s">
        <v>411</v>
      </c>
      <c r="C39" s="8" t="str">
        <f>HYPERLINK("https://tools.wmflabs.org/geohack/geohack.php?params=40.3449_N_29.4867_E_type:city","40.3449°N 29.4867°E")</f>
        <v>40.3449°N 29.4867°E</v>
      </c>
      <c r="D39" s="8" t="s">
        <v>1212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5.75" customHeight="1" x14ac:dyDescent="0.35">
      <c r="A40" s="9" t="s">
        <v>989</v>
      </c>
      <c r="B40" s="9" t="s">
        <v>412</v>
      </c>
      <c r="C40" s="8" t="str">
        <f>HYPERLINK("https://tools.wmflabs.org/geohack/geohack.php?params=40.3548_N_29.7315_E_type:city","40.3548°N 29.7315°E")</f>
        <v>40.3548°N 29.7315°E</v>
      </c>
      <c r="D40" s="8" t="s">
        <v>1212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5.75" customHeight="1" x14ac:dyDescent="0.35">
      <c r="A41" s="9" t="s">
        <v>990</v>
      </c>
      <c r="B41" s="9" t="s">
        <v>413</v>
      </c>
      <c r="C41" s="8" t="str">
        <f>HYPERLINK("https://tools.wmflabs.org/geohack/geohack.php?params=40.3498_N_29.7676_E_type:city","40.3498°N 29.7676°E")</f>
        <v>40.3498°N 29.7676°E</v>
      </c>
      <c r="D41" s="8" t="s">
        <v>1212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5.75" customHeight="1" x14ac:dyDescent="0.35">
      <c r="A42" s="9" t="s">
        <v>991</v>
      </c>
      <c r="B42" s="9" t="s">
        <v>414</v>
      </c>
      <c r="C42" s="8" t="str">
        <f>HYPERLINK("https://tools.wmflabs.org/geohack/geohack.php?params=40.2789_N_29.7856_E_type:city","40.2789°N 29.7856°E")</f>
        <v>40.2789°N 29.7856°E</v>
      </c>
      <c r="D42" s="8" t="s">
        <v>1212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5.75" customHeight="1" x14ac:dyDescent="0.35">
      <c r="A43" s="9" t="s">
        <v>992</v>
      </c>
      <c r="B43" s="9" t="s">
        <v>415</v>
      </c>
      <c r="C43" s="8" t="str">
        <f>HYPERLINK("https://tools.wmflabs.org/geohack/geohack.php?params=40.2530_N_29.4800_E_type:city","40.2530°N 29.4800°E")</f>
        <v>40.2530°N 29.4800°E</v>
      </c>
      <c r="D43" s="8" t="s">
        <v>1212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5.75" customHeight="1" x14ac:dyDescent="0.35">
      <c r="A44" s="9" t="s">
        <v>993</v>
      </c>
      <c r="B44" s="9" t="s">
        <v>416</v>
      </c>
      <c r="C44" s="8" t="str">
        <f>HYPERLINK("https://tools.wmflabs.org/geohack/geohack.php?params=40.3174_N_29.6318_E_type:city","40.3174°N 29.6318°E")</f>
        <v>40.3174°N 29.6318°E</v>
      </c>
      <c r="D44" s="8" t="s">
        <v>1212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5.75" customHeight="1" x14ac:dyDescent="0.35">
      <c r="A45" s="9" t="s">
        <v>994</v>
      </c>
      <c r="B45" s="9" t="s">
        <v>230</v>
      </c>
      <c r="C45" s="8" t="str">
        <f>HYPERLINK("https://tools.wmflabs.org/geohack/geohack.php?params=40.2758_N_29.6759_E_type:city","40.2758°N 29.6759°E")</f>
        <v>40.2758°N 29.6759°E</v>
      </c>
      <c r="D45" s="8" t="s">
        <v>1212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5.75" customHeight="1" x14ac:dyDescent="0.35">
      <c r="A46" s="9" t="s">
        <v>995</v>
      </c>
      <c r="B46" s="9" t="s">
        <v>270</v>
      </c>
      <c r="C46" s="8" t="str">
        <f>HYPERLINK("https://tools.wmflabs.org/geohack/geohack.php?params=40.2185_N_29.6967_E_type:city","40.2185°N 29.6967°E")</f>
        <v>40.2185°N 29.6967°E</v>
      </c>
      <c r="D46" s="8" t="s">
        <v>1212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5.75" customHeight="1" x14ac:dyDescent="0.35">
      <c r="A47" s="9" t="s">
        <v>996</v>
      </c>
      <c r="B47" s="9" t="s">
        <v>417</v>
      </c>
      <c r="C47" s="8" t="str">
        <f>HYPERLINK("https://tools.wmflabs.org/geohack/geohack.php?params=40.2409_N_29.4420_E_type:city","40.2409°N 29.4420°E")</f>
        <v>40.2409°N 29.4420°E</v>
      </c>
      <c r="D47" s="8" t="s">
        <v>1212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5.75" customHeight="1" x14ac:dyDescent="0.35">
      <c r="A48" s="9" t="s">
        <v>997</v>
      </c>
      <c r="B48" s="9" t="s">
        <v>418</v>
      </c>
      <c r="C48" s="8" t="str">
        <f>HYPERLINK("https://tools.wmflabs.org/geohack/geohack.php?params=40.3579_N_29.7008_E_type:city","40.3579°N 29.7008°E")</f>
        <v>40.3579°N 29.7008°E</v>
      </c>
      <c r="D48" s="8" t="s">
        <v>1212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5.75" customHeight="1" x14ac:dyDescent="0.35">
      <c r="A49" s="9" t="s">
        <v>998</v>
      </c>
      <c r="B49" s="9" t="s">
        <v>419</v>
      </c>
      <c r="C49" s="8" t="str">
        <f>HYPERLINK("https://tools.wmflabs.org/geohack/geohack.php?params=40.2806_N_29.5262_E_type:city","40.2806°N 29.5262°E")</f>
        <v>40.2806°N 29.5262°E</v>
      </c>
      <c r="D49" s="8" t="s">
        <v>1212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5.75" customHeight="1" x14ac:dyDescent="0.35">
      <c r="A50" s="9" t="s">
        <v>999</v>
      </c>
      <c r="B50" s="9" t="s">
        <v>284</v>
      </c>
      <c r="C50" s="8" t="str">
        <f>HYPERLINK("https://tools.wmflabs.org/geohack/geohack.php?params=40.1820_N_29.6463_E_type:city","40.1820°N 29.6463°E")</f>
        <v>40.1820°N 29.6463°E</v>
      </c>
      <c r="D50" s="8" t="s">
        <v>1212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5.75" customHeight="1" x14ac:dyDescent="0.35">
      <c r="A51" s="9" t="s">
        <v>1000</v>
      </c>
      <c r="B51" s="9" t="s">
        <v>289</v>
      </c>
      <c r="C51" s="8" t="str">
        <f>HYPERLINK("https://tools.wmflabs.org/geohack/geohack.php?params=40.1737_N_29.6215_E_type:city","40.1737°N 29.6215°E")</f>
        <v>40.1737°N 29.6215°E</v>
      </c>
      <c r="D51" s="8" t="s">
        <v>1212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5.75" customHeight="1" x14ac:dyDescent="0.35">
      <c r="A52" s="9" t="s">
        <v>1001</v>
      </c>
      <c r="B52" s="9" t="s">
        <v>420</v>
      </c>
      <c r="C52" s="8" t="str">
        <f>HYPERLINK("https://tools.wmflabs.org/geohack/geohack.php?params=40.2497_N_29.7259_E_type:city","40.2497°N 29.7259°E")</f>
        <v>40.2497°N 29.7259°E</v>
      </c>
      <c r="D52" s="8" t="s">
        <v>1212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5.75" customHeight="1" x14ac:dyDescent="0.35">
      <c r="A53" s="9" t="s">
        <v>1002</v>
      </c>
      <c r="B53" s="9" t="s">
        <v>421</v>
      </c>
      <c r="C53" s="8" t="str">
        <f>HYPERLINK("https://tools.wmflabs.org/geohack/geohack.php?params=40.3262_N_29.3812_E_type:city","40.3262°N 29.3812°E")</f>
        <v>40.3262°N 29.3812°E</v>
      </c>
      <c r="D53" s="8" t="s">
        <v>1212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5.75" customHeight="1" x14ac:dyDescent="0.35">
      <c r="A54" s="9" t="s">
        <v>1003</v>
      </c>
      <c r="B54" s="9" t="s">
        <v>422</v>
      </c>
      <c r="C54" s="8" t="str">
        <f>HYPERLINK("https://tools.wmflabs.org/geohack/geohack.php?params=40.3413_N_29.5825_E_type:city","40.3413°N 29.5825°E")</f>
        <v>40.3413°N 29.5825°E</v>
      </c>
      <c r="D54" s="8" t="s">
        <v>1212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5.75" customHeight="1" x14ac:dyDescent="0.35">
      <c r="A55" s="9" t="s">
        <v>1004</v>
      </c>
      <c r="B55" s="9" t="s">
        <v>356</v>
      </c>
      <c r="C55" s="8" t="str">
        <f>HYPERLINK("https://tools.wmflabs.org/geohack/geohack.php?params=40.3105_N_29.4875_E_type:city","40.3105°N 29.4875°E")</f>
        <v>40.3105°N 29.4875°E</v>
      </c>
      <c r="D55" s="8" t="s">
        <v>1212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customHeight="1" x14ac:dyDescent="0.35">
      <c r="A56" s="9" t="s">
        <v>1005</v>
      </c>
      <c r="B56" s="9" t="s">
        <v>423</v>
      </c>
      <c r="C56" s="8" t="str">
        <f>HYPERLINK("https://tools.wmflabs.org/geohack/geohack.php?params=40.2192_N_29.6070_E_type:city","40.2192°N 29.6070°E")</f>
        <v>40.2192°N 29.6070°E</v>
      </c>
      <c r="D56" s="8" t="s">
        <v>1212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5.75" customHeight="1" x14ac:dyDescent="0.35">
      <c r="A57" s="9" t="s">
        <v>1006</v>
      </c>
      <c r="B57" s="9" t="s">
        <v>424</v>
      </c>
      <c r="C57" s="8" t="str">
        <f>HYPERLINK("https://tools.wmflabs.org/geohack/geohack.php?params=40.2167_N_29.6599_E_type:city","40.2167°N 29.6599°E")</f>
        <v>40.2167°N 29.6599°E</v>
      </c>
      <c r="D57" s="8" t="s">
        <v>1212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5.75" customHeight="1" x14ac:dyDescent="0.35">
      <c r="A58" s="9" t="s">
        <v>1007</v>
      </c>
      <c r="B58" s="9" t="s">
        <v>307</v>
      </c>
      <c r="C58" s="8" t="str">
        <f>HYPERLINK("https://tools.wmflabs.org/geohack/geohack.php?params=40.3378_N_29.5419_E_type:city","40.3378°N 29.5419°E")</f>
        <v>40.3378°N 29.5419°E</v>
      </c>
      <c r="D58" s="8" t="s">
        <v>1212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5.75" customHeight="1" x14ac:dyDescent="0.35">
      <c r="A59" s="9" t="s">
        <v>1008</v>
      </c>
      <c r="B59" s="9" t="s">
        <v>425</v>
      </c>
      <c r="C59" s="8" t="str">
        <f>HYPERLINK("https://tools.wmflabs.org/geohack/geohack.php?params=40.2471_N_29.6602_E_type:city","40.2471°N 29.6602°E")</f>
        <v>40.2471°N 29.6602°E</v>
      </c>
      <c r="D59" s="8" t="s">
        <v>1212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5.75" customHeight="1" x14ac:dyDescent="0.35">
      <c r="A60" s="9" t="s">
        <v>1009</v>
      </c>
      <c r="B60" s="9" t="s">
        <v>426</v>
      </c>
      <c r="C60" s="8" t="str">
        <f>HYPERLINK("https://tools.wmflabs.org/geohack/geohack.php?params=40.3110_N_29.7976_E_type:city","40.3110°N 29.7976°E")</f>
        <v>40.3110°N 29.7976°E</v>
      </c>
      <c r="D60" s="8" t="s">
        <v>1212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5.75" customHeight="1" x14ac:dyDescent="0.35">
      <c r="A61" s="9" t="s">
        <v>1010</v>
      </c>
      <c r="B61" s="9" t="s">
        <v>427</v>
      </c>
      <c r="C61" s="8" t="str">
        <f>HYPERLINK("https://tools.wmflabs.org/geohack/geohack.php?params=40.2348_N_29.7576_E_type:city","40.2348°N 29.7576°E")</f>
        <v>40.2348°N 29.7576°E</v>
      </c>
      <c r="D61" s="8" t="s">
        <v>1212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5.75" customHeight="1" x14ac:dyDescent="0.35">
      <c r="A62" s="9" t="s">
        <v>1011</v>
      </c>
      <c r="B62" s="9" t="s">
        <v>428</v>
      </c>
      <c r="C62" s="8" t="str">
        <f>HYPERLINK("https://tools.wmflabs.org/geohack/geohack.php?params=40.2816_N_29.5068_E_type:city","40.2816°N 29.5068°E")</f>
        <v>40.2816°N 29.5068°E</v>
      </c>
      <c r="D62" s="8" t="s">
        <v>1212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5.75" customHeight="1" x14ac:dyDescent="0.35">
      <c r="A63" s="9" t="s">
        <v>1012</v>
      </c>
      <c r="B63" s="9" t="s">
        <v>429</v>
      </c>
      <c r="C63" s="8" t="str">
        <f>HYPERLINK("https://tools.wmflabs.org/geohack/geohack.php?params=40.2603_N_29.6522_E_type:city","40.2603°N 29.6522°E")</f>
        <v>40.2603°N 29.6522°E</v>
      </c>
      <c r="D63" s="8" t="s">
        <v>1212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5.75" customHeight="1" x14ac:dyDescent="0.35">
      <c r="A64" s="9" t="s">
        <v>1013</v>
      </c>
      <c r="B64" s="9" t="s">
        <v>430</v>
      </c>
      <c r="C64" s="8" t="str">
        <f>HYPERLINK("https://tools.wmflabs.org/geohack/geohack.php?params=40.1898_N_29.7294_E_type:city","40.1898°N 29.7294°E")</f>
        <v>40.1898°N 29.7294°E</v>
      </c>
      <c r="D64" s="8" t="s">
        <v>1212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customHeight="1" x14ac:dyDescent="0.35">
      <c r="A65" s="9" t="s">
        <v>1014</v>
      </c>
      <c r="B65" s="9" t="s">
        <v>432</v>
      </c>
      <c r="C65" s="8" t="str">
        <f>HYPERLINK("https://tools.wmflabs.org/geohack/geohack.php?params=40.1927_N_29.6799_E_type:city","40.1927°N 29.6799°E")</f>
        <v>40.1927°N 29.6799°E</v>
      </c>
      <c r="D65" s="8" t="s">
        <v>1212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5.75" customHeight="1" x14ac:dyDescent="0.35">
      <c r="A66" s="9" t="s">
        <v>1015</v>
      </c>
      <c r="B66" s="9" t="s">
        <v>334</v>
      </c>
      <c r="C66" s="8" t="str">
        <f>HYPERLINK("https://tools.wmflabs.org/geohack/geohack.php?params=40.2595_N_29.6565_E_type:city","40.2595°N 29.6565°E")</f>
        <v>40.2595°N 29.6565°E</v>
      </c>
      <c r="D66" s="8" t="s">
        <v>1212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5.75" customHeight="1" x14ac:dyDescent="0.35">
      <c r="A67" s="9" t="s">
        <v>1016</v>
      </c>
      <c r="B67" s="9" t="s">
        <v>434</v>
      </c>
      <c r="C67" s="8" t="str">
        <f>HYPERLINK("https://tools.wmflabs.org/geohack/geohack.php?params=40.2828_N_29.6503_E_type:city","40.2828°N 29.6503°E")</f>
        <v>40.2828°N 29.6503°E</v>
      </c>
      <c r="D67" s="8" t="s">
        <v>1212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5.75" customHeight="1" x14ac:dyDescent="0.35">
      <c r="A68" s="9" t="s">
        <v>1017</v>
      </c>
      <c r="B68" s="9" t="s">
        <v>340</v>
      </c>
      <c r="C68" s="8" t="str">
        <f>HYPERLINK("https://tools.wmflabs.org/geohack/geohack.php?params=40.3194_N_29.4613_E_type:city","40.3194°N 29.4613°E")</f>
        <v>40.3194°N 29.4613°E</v>
      </c>
      <c r="D68" s="8" t="s">
        <v>1212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5.75" customHeight="1" x14ac:dyDescent="0.35">
      <c r="A69" s="9" t="s">
        <v>1018</v>
      </c>
      <c r="B69" s="9" t="s">
        <v>248</v>
      </c>
      <c r="C69" s="8" t="str">
        <f>HYPERLINK("https://tools.wmflabs.org/geohack/geohack.php?params=40.3318_N_29.5651_E_type:city","40.3318°N 29.5651°E")</f>
        <v>40.3318°N 29.5651°E</v>
      </c>
      <c r="D69" s="8" t="s">
        <v>1212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5.75" customHeight="1" x14ac:dyDescent="0.35">
      <c r="A70" s="9" t="s">
        <v>1019</v>
      </c>
      <c r="B70" s="9" t="s">
        <v>438</v>
      </c>
      <c r="C70" s="8" t="str">
        <f>HYPERLINK("https://tools.wmflabs.org/geohack/geohack.php?params=40.2586_N_29.6478_E_type:city","40.2586°N 29.6478°E")</f>
        <v>40.2586°N 29.6478°E</v>
      </c>
      <c r="D70" s="8" t="s">
        <v>1212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5.75" customHeight="1" x14ac:dyDescent="0.35">
      <c r="A71" s="9" t="s">
        <v>1020</v>
      </c>
      <c r="B71" s="9" t="s">
        <v>439</v>
      </c>
      <c r="C71" s="8" t="str">
        <f>HYPERLINK("https://tools.wmflabs.org/geohack/geohack.php?params=40.2471_N_29.5756_E_type:city","40.2471°N 29.5756°E")</f>
        <v>40.2471°N 29.5756°E</v>
      </c>
      <c r="D71" s="8" t="s">
        <v>1212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5.75" customHeight="1" x14ac:dyDescent="0.35">
      <c r="A72" s="9" t="s">
        <v>1021</v>
      </c>
      <c r="B72" s="9" t="s">
        <v>286</v>
      </c>
      <c r="C72" s="8" t="str">
        <f>HYPERLINK("https://tools.wmflabs.org/geohack/geohack.php?params=40.2699_N_29.6322_E_type:city","40.2699°N 29.6322°E")</f>
        <v>40.2699°N 29.6322°E</v>
      </c>
      <c r="D72" s="8" t="s">
        <v>1212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5.75" customHeight="1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customHeight="1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5.75" customHeight="1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5.75" customHeight="1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5.75" customHeight="1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5.75" customHeight="1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5.75" customHeight="1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5.75" customHeight="1" x14ac:dyDescent="0.3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5.75" customHeight="1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5.75" customHeight="1" x14ac:dyDescent="0.3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customHeight="1" x14ac:dyDescent="0.3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5.75" customHeight="1" x14ac:dyDescent="0.3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5.75" customHeight="1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5.75" customHeight="1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5.75" customHeight="1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5.75" customHeight="1" x14ac:dyDescent="0.3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5.75" customHeight="1" x14ac:dyDescent="0.3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5.75" customHeight="1" x14ac:dyDescent="0.3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5.75" customHeight="1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customHeight="1" x14ac:dyDescent="0.3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5.75" customHeight="1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5.75" customHeight="1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5.75" customHeight="1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5.75" customHeight="1" x14ac:dyDescent="0.3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5.75" customHeight="1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5.75" customHeight="1" x14ac:dyDescent="0.3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5.75" customHeight="1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5.75" customHeight="1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customHeight="1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5.75" customHeight="1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5.75" customHeight="1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5.75" customHeight="1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5.75" customHeight="1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5.75" customHeight="1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5.75" customHeight="1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5.75" customHeight="1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5.75" customHeight="1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customHeight="1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5.75" customHeight="1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5.75" customHeight="1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5.75" customHeight="1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5.75" customHeight="1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5.75" customHeight="1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5.75" customHeight="1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5.75" customHeight="1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5.75" customHeight="1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customHeight="1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5.75" customHeight="1" x14ac:dyDescent="0.3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5.75" customHeight="1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5.75" customHeight="1" x14ac:dyDescent="0.3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5.75" customHeight="1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5.75" customHeight="1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5.75" customHeight="1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5.75" customHeight="1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5.75" customHeight="1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customHeight="1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5.75" customHeight="1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5.75" customHeight="1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5.75" customHeight="1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5.75" customHeight="1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5.75" customHeight="1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5.75" customHeight="1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5.75" customHeight="1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5.75" customHeight="1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customHeight="1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5.75" customHeight="1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5.75" customHeight="1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5.75" customHeight="1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5.75" customHeight="1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5.75" customHeight="1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5.75" customHeight="1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5.75" customHeight="1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5.75" customHeight="1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5.75" customHeight="1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customHeight="1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5.75" customHeight="1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5.75" customHeight="1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5.75" customHeight="1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5.75" customHeight="1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5.75" customHeight="1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5.75" customHeight="1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5.75" customHeight="1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5.75" customHeight="1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customHeight="1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5.75" customHeight="1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5.75" customHeight="1" x14ac:dyDescent="0.3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5.75" customHeight="1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5.75" customHeight="1" x14ac:dyDescent="0.3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5.75" customHeight="1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5.75" customHeight="1" x14ac:dyDescent="0.3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5.75" customHeight="1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5.75" customHeight="1" x14ac:dyDescent="0.3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5.75" customHeight="1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customHeight="1" x14ac:dyDescent="0.3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5.75" customHeight="1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5.75" customHeight="1" x14ac:dyDescent="0.3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5.75" customHeight="1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5.75" customHeight="1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5.75" customHeight="1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5.75" customHeight="1" x14ac:dyDescent="0.3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5.75" customHeight="1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5.75" customHeight="1" x14ac:dyDescent="0.3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5.75" customHeight="1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5.75" customHeight="1" x14ac:dyDescent="0.3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5.75" customHeight="1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5.75" customHeight="1" x14ac:dyDescent="0.3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5.75" customHeight="1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5.75" customHeight="1" x14ac:dyDescent="0.3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5.75" customHeight="1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5.75" customHeight="1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5.75" customHeight="1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5.75" customHeight="1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5.75" customHeight="1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5.75" customHeight="1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5.75" customHeight="1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5.75" customHeight="1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5.75" customHeight="1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5.75" customHeight="1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5.75" customHeight="1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5.75" customHeight="1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5.75" customHeight="1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5.75" customHeight="1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5.75" customHeight="1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5.75" customHeight="1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5.75" customHeight="1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5.75" customHeight="1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5.75" customHeight="1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5.75" customHeight="1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5.75" customHeight="1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5.75" customHeight="1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5.75" customHeight="1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5.75" customHeight="1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5.75" customHeight="1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5.75" customHeight="1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5.75" customHeight="1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5.75" customHeight="1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5.75" customHeight="1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5.75" customHeight="1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5.75" customHeight="1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5.75" customHeight="1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5.75" customHeight="1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5.75" customHeight="1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5.75" customHeight="1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5.75" customHeight="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5.75" customHeight="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5.75" customHeight="1" x14ac:dyDescent="0.3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5.75" customHeight="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5.75" customHeight="1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5.75" customHeight="1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5.75" customHeight="1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5.75" customHeight="1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5.75" customHeight="1" x14ac:dyDescent="0.3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5.75" customHeight="1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5.75" customHeight="1" x14ac:dyDescent="0.3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5.75" customHeight="1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5.75" customHeight="1" x14ac:dyDescent="0.3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5.75" customHeight="1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5.75" customHeight="1" x14ac:dyDescent="0.3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5.75" customHeight="1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5.75" customHeight="1" x14ac:dyDescent="0.3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5.75" customHeight="1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5.75" customHeight="1" x14ac:dyDescent="0.3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5.75" customHeight="1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5.75" customHeight="1" x14ac:dyDescent="0.3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5.75" customHeight="1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5.75" customHeight="1" x14ac:dyDescent="0.3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5.75" customHeight="1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5.75" customHeight="1" x14ac:dyDescent="0.3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5.75" customHeight="1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5.75" customHeight="1" x14ac:dyDescent="0.3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5.75" customHeight="1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5.75" customHeight="1" x14ac:dyDescent="0.3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5.75" customHeight="1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5.75" customHeight="1" x14ac:dyDescent="0.3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5.75" customHeight="1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5.75" customHeight="1" x14ac:dyDescent="0.3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5.75" customHeight="1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5.75" customHeight="1" x14ac:dyDescent="0.3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5.75" customHeight="1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5.75" customHeight="1" x14ac:dyDescent="0.3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5.75" customHeight="1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5.75" customHeight="1" x14ac:dyDescent="0.3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5.75" customHeight="1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5.75" customHeight="1" x14ac:dyDescent="0.3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5.75" customHeight="1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5.75" customHeight="1" x14ac:dyDescent="0.3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5.75" customHeight="1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5.75" customHeight="1" x14ac:dyDescent="0.3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5.75" customHeight="1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5.75" customHeight="1" x14ac:dyDescent="0.3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5.75" customHeight="1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5.75" customHeight="1" x14ac:dyDescent="0.3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5.75" customHeight="1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5.75" customHeight="1" x14ac:dyDescent="0.3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5.75" customHeight="1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5.75" customHeight="1" x14ac:dyDescent="0.3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5.75" customHeight="1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5.75" customHeight="1" x14ac:dyDescent="0.3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5.75" customHeight="1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5.75" customHeight="1" x14ac:dyDescent="0.3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5.75" customHeight="1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5.75" customHeight="1" x14ac:dyDescent="0.3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5.75" customHeight="1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5.75" customHeight="1" x14ac:dyDescent="0.3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5.75" customHeight="1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5.75" customHeight="1" x14ac:dyDescent="0.3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5.75" customHeight="1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5.75" customHeight="1" x14ac:dyDescent="0.3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5.75" customHeight="1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5.75" customHeight="1" x14ac:dyDescent="0.3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5.75" customHeight="1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5.75" customHeight="1" x14ac:dyDescent="0.3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5.75" customHeight="1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5.75" customHeight="1" x14ac:dyDescent="0.3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5.75" customHeight="1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5.75" customHeight="1" x14ac:dyDescent="0.3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5.75" customHeight="1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5.75" customHeight="1" x14ac:dyDescent="0.3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5.75" customHeight="1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5.75" customHeight="1" x14ac:dyDescent="0.3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5.75" customHeight="1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5.75" customHeight="1" x14ac:dyDescent="0.3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5.75" customHeight="1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5.75" customHeight="1" x14ac:dyDescent="0.3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5.75" customHeight="1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5.75" customHeight="1" x14ac:dyDescent="0.3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5.75" customHeight="1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5.75" customHeight="1" x14ac:dyDescent="0.3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5.75" customHeight="1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5.75" customHeight="1" x14ac:dyDescent="0.3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5.75" customHeight="1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5.75" customHeight="1" x14ac:dyDescent="0.3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5.75" customHeight="1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5.75" customHeight="1" x14ac:dyDescent="0.3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5.75" customHeight="1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5.75" customHeight="1" x14ac:dyDescent="0.3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5.75" customHeight="1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5.75" customHeight="1" x14ac:dyDescent="0.3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5.75" customHeight="1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5.75" customHeight="1" x14ac:dyDescent="0.3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5.75" customHeight="1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5.75" customHeight="1" x14ac:dyDescent="0.3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5.75" customHeight="1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5.75" customHeight="1" x14ac:dyDescent="0.3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5.75" customHeight="1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5.75" customHeight="1" x14ac:dyDescent="0.3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5.75" customHeight="1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5.75" customHeight="1" x14ac:dyDescent="0.3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5.75" customHeight="1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5.75" customHeight="1" x14ac:dyDescent="0.3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5.75" customHeight="1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5.75" customHeight="1" x14ac:dyDescent="0.3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5.75" customHeight="1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5.75" customHeight="1" x14ac:dyDescent="0.3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5.75" customHeight="1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5.75" customHeight="1" x14ac:dyDescent="0.3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5.75" customHeight="1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5.75" customHeight="1" x14ac:dyDescent="0.3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5.75" customHeight="1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5.75" customHeight="1" x14ac:dyDescent="0.3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5.75" customHeight="1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5.75" customHeight="1" x14ac:dyDescent="0.3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5.75" customHeight="1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5.75" customHeight="1" x14ac:dyDescent="0.3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5.75" customHeight="1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5.75" customHeight="1" x14ac:dyDescent="0.3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5.75" customHeight="1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5.75" customHeight="1" x14ac:dyDescent="0.3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5.75" customHeight="1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5.75" customHeight="1" x14ac:dyDescent="0.3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5.75" customHeight="1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5.75" customHeight="1" x14ac:dyDescent="0.3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5.75" customHeight="1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5.75" customHeight="1" x14ac:dyDescent="0.3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5.75" customHeight="1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5.75" customHeight="1" x14ac:dyDescent="0.3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5.75" customHeight="1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5.75" customHeight="1" x14ac:dyDescent="0.3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5.75" customHeight="1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5.75" customHeight="1" x14ac:dyDescent="0.3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5.75" customHeight="1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5.75" customHeight="1" x14ac:dyDescent="0.3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5.75" customHeight="1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5.75" customHeight="1" x14ac:dyDescent="0.3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5.75" customHeight="1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5.75" customHeight="1" x14ac:dyDescent="0.3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5.75" customHeight="1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5.75" customHeight="1" x14ac:dyDescent="0.3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5.75" customHeight="1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5.75" customHeight="1" x14ac:dyDescent="0.3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5.75" customHeight="1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5.75" customHeight="1" x14ac:dyDescent="0.3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5.75" customHeight="1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5.75" customHeight="1" x14ac:dyDescent="0.3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5.75" customHeight="1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5.75" customHeight="1" x14ac:dyDescent="0.3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5.75" customHeight="1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5.75" customHeight="1" x14ac:dyDescent="0.3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5.75" customHeight="1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5.75" customHeight="1" x14ac:dyDescent="0.3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5.75" customHeight="1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5.75" customHeight="1" x14ac:dyDescent="0.3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5.75" customHeight="1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5.75" customHeight="1" x14ac:dyDescent="0.3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5.75" customHeight="1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5.75" customHeight="1" x14ac:dyDescent="0.3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5.75" customHeight="1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5.75" customHeight="1" x14ac:dyDescent="0.3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5.75" customHeight="1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5.75" customHeight="1" x14ac:dyDescent="0.3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5.75" customHeight="1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5.75" customHeight="1" x14ac:dyDescent="0.3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5.75" customHeight="1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5.75" customHeight="1" x14ac:dyDescent="0.3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5.75" customHeight="1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5.75" customHeight="1" x14ac:dyDescent="0.3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5.75" customHeight="1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5.75" customHeight="1" x14ac:dyDescent="0.3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5.75" customHeight="1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5.75" customHeight="1" x14ac:dyDescent="0.3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5.75" customHeight="1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5.75" customHeight="1" x14ac:dyDescent="0.3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5.75" customHeight="1" x14ac:dyDescent="0.3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5.75" customHeight="1" x14ac:dyDescent="0.3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5.75" customHeight="1" x14ac:dyDescent="0.3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5.75" customHeight="1" x14ac:dyDescent="0.3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5.75" customHeight="1" x14ac:dyDescent="0.3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5.75" customHeight="1" x14ac:dyDescent="0.3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5.75" customHeight="1" x14ac:dyDescent="0.3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5.75" customHeight="1" x14ac:dyDescent="0.3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5.75" customHeight="1" x14ac:dyDescent="0.3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5.75" customHeight="1" x14ac:dyDescent="0.3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5.75" customHeight="1" x14ac:dyDescent="0.3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5.75" customHeight="1" x14ac:dyDescent="0.3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5.75" customHeight="1" x14ac:dyDescent="0.3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5.75" customHeight="1" x14ac:dyDescent="0.3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5.75" customHeight="1" x14ac:dyDescent="0.3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5.75" customHeight="1" x14ac:dyDescent="0.3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5.75" customHeight="1" x14ac:dyDescent="0.3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5.75" customHeight="1" x14ac:dyDescent="0.3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5.75" customHeight="1" x14ac:dyDescent="0.3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5.75" customHeight="1" x14ac:dyDescent="0.3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5.75" customHeight="1" x14ac:dyDescent="0.3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5.75" customHeight="1" x14ac:dyDescent="0.3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5.75" customHeight="1" x14ac:dyDescent="0.3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5.75" customHeight="1" x14ac:dyDescent="0.3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5.75" customHeight="1" x14ac:dyDescent="0.3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5.75" customHeight="1" x14ac:dyDescent="0.3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5.75" customHeight="1" x14ac:dyDescent="0.3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5.75" customHeight="1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5.75" customHeight="1" x14ac:dyDescent="0.3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5.75" customHeight="1" x14ac:dyDescent="0.3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5.75" customHeight="1" x14ac:dyDescent="0.3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5.75" customHeight="1" x14ac:dyDescent="0.3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5.75" customHeight="1" x14ac:dyDescent="0.3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5.75" customHeight="1" x14ac:dyDescent="0.3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5.75" customHeight="1" x14ac:dyDescent="0.3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5.75" customHeight="1" x14ac:dyDescent="0.3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5.75" customHeight="1" x14ac:dyDescent="0.3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5.75" customHeight="1" x14ac:dyDescent="0.3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5.75" customHeight="1" x14ac:dyDescent="0.3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5.75" customHeight="1" x14ac:dyDescent="0.3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5.75" customHeight="1" x14ac:dyDescent="0.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5.75" customHeight="1" x14ac:dyDescent="0.3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5.75" customHeight="1" x14ac:dyDescent="0.3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5.75" customHeight="1" x14ac:dyDescent="0.3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5.75" customHeight="1" x14ac:dyDescent="0.3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5.75" customHeight="1" x14ac:dyDescent="0.3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5.75" customHeight="1" x14ac:dyDescent="0.3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5.75" customHeight="1" x14ac:dyDescent="0.3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5.75" customHeight="1" x14ac:dyDescent="0.3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5.75" customHeight="1" x14ac:dyDescent="0.3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5.75" customHeight="1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5.75" customHeight="1" x14ac:dyDescent="0.3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5.75" customHeight="1" x14ac:dyDescent="0.3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5.75" customHeight="1" x14ac:dyDescent="0.3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5.75" customHeight="1" x14ac:dyDescent="0.3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5.75" customHeight="1" x14ac:dyDescent="0.3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5.75" customHeight="1" x14ac:dyDescent="0.3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5.75" customHeight="1" x14ac:dyDescent="0.3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5.75" customHeight="1" x14ac:dyDescent="0.3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5.75" customHeight="1" x14ac:dyDescent="0.3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5.75" customHeight="1" x14ac:dyDescent="0.3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5.75" customHeight="1" x14ac:dyDescent="0.3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5.75" customHeight="1" x14ac:dyDescent="0.3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5.75" customHeight="1" x14ac:dyDescent="0.3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5.75" customHeight="1" x14ac:dyDescent="0.3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5.75" customHeight="1" x14ac:dyDescent="0.3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5.75" customHeight="1" x14ac:dyDescent="0.3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5.75" customHeight="1" x14ac:dyDescent="0.3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5.75" customHeight="1" x14ac:dyDescent="0.3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5.75" customHeight="1" x14ac:dyDescent="0.3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5.75" customHeight="1" x14ac:dyDescent="0.3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5.75" customHeight="1" x14ac:dyDescent="0.3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5.75" customHeight="1" x14ac:dyDescent="0.3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5.75" customHeight="1" x14ac:dyDescent="0.3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5.75" customHeight="1" x14ac:dyDescent="0.3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5.75" customHeight="1" x14ac:dyDescent="0.3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5.75" customHeight="1" x14ac:dyDescent="0.3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5.75" customHeight="1" x14ac:dyDescent="0.3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5.75" customHeight="1" x14ac:dyDescent="0.3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5.75" customHeight="1" x14ac:dyDescent="0.3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5.75" customHeight="1" x14ac:dyDescent="0.3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5.75" customHeight="1" x14ac:dyDescent="0.3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5.75" customHeight="1" x14ac:dyDescent="0.3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5.75" customHeight="1" x14ac:dyDescent="0.3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5.75" customHeight="1" x14ac:dyDescent="0.3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5.75" customHeight="1" x14ac:dyDescent="0.3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5.75" customHeight="1" x14ac:dyDescent="0.3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5.75" customHeight="1" x14ac:dyDescent="0.3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5.75" customHeight="1" x14ac:dyDescent="0.3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5.75" customHeight="1" x14ac:dyDescent="0.3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5.75" customHeight="1" x14ac:dyDescent="0.3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5.75" customHeight="1" x14ac:dyDescent="0.3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5.75" customHeight="1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5.75" customHeight="1" x14ac:dyDescent="0.3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5.75" customHeight="1" x14ac:dyDescent="0.3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5.75" customHeight="1" x14ac:dyDescent="0.3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5.75" customHeight="1" x14ac:dyDescent="0.3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5.75" customHeight="1" x14ac:dyDescent="0.3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5.75" customHeight="1" x14ac:dyDescent="0.3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5.75" customHeight="1" x14ac:dyDescent="0.3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5.75" customHeight="1" x14ac:dyDescent="0.3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5.75" customHeight="1" x14ac:dyDescent="0.3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5.75" customHeight="1" x14ac:dyDescent="0.3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5.75" customHeight="1" x14ac:dyDescent="0.3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5.75" customHeight="1" x14ac:dyDescent="0.3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5.75" customHeight="1" x14ac:dyDescent="0.3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5.75" customHeight="1" x14ac:dyDescent="0.3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5.75" customHeight="1" x14ac:dyDescent="0.3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5.75" customHeight="1" x14ac:dyDescent="0.3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5.75" customHeight="1" x14ac:dyDescent="0.3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5.75" customHeight="1" x14ac:dyDescent="0.3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5.75" customHeight="1" x14ac:dyDescent="0.3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5.75" customHeight="1" x14ac:dyDescent="0.3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5.75" customHeight="1" x14ac:dyDescent="0.3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5.75" customHeight="1" x14ac:dyDescent="0.3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5.75" customHeight="1" x14ac:dyDescent="0.3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5.75" customHeight="1" x14ac:dyDescent="0.3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5.75" customHeight="1" x14ac:dyDescent="0.3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5.75" customHeight="1" x14ac:dyDescent="0.3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5.75" customHeight="1" x14ac:dyDescent="0.3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5.75" customHeight="1" x14ac:dyDescent="0.3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5.75" customHeight="1" x14ac:dyDescent="0.3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5.75" customHeight="1" x14ac:dyDescent="0.3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5.75" customHeight="1" x14ac:dyDescent="0.3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5.75" customHeight="1" x14ac:dyDescent="0.3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5.75" customHeight="1" x14ac:dyDescent="0.3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5.75" customHeight="1" x14ac:dyDescent="0.3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5.75" customHeight="1" x14ac:dyDescent="0.3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5.75" customHeight="1" x14ac:dyDescent="0.3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5.75" customHeight="1" x14ac:dyDescent="0.3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5.75" customHeight="1" x14ac:dyDescent="0.3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5.75" customHeight="1" x14ac:dyDescent="0.3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5.75" customHeight="1" x14ac:dyDescent="0.3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5.75" customHeight="1" x14ac:dyDescent="0.3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5.75" customHeight="1" x14ac:dyDescent="0.3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5.75" customHeight="1" x14ac:dyDescent="0.3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5.75" customHeight="1" x14ac:dyDescent="0.3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5.75" customHeight="1" x14ac:dyDescent="0.3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5.75" customHeight="1" x14ac:dyDescent="0.3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5.75" customHeight="1" x14ac:dyDescent="0.3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5.75" customHeight="1" x14ac:dyDescent="0.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5.75" customHeight="1" x14ac:dyDescent="0.3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5.75" customHeight="1" x14ac:dyDescent="0.3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5.75" customHeight="1" x14ac:dyDescent="0.3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5.75" customHeight="1" x14ac:dyDescent="0.3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5.75" customHeight="1" x14ac:dyDescent="0.3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5.75" customHeight="1" x14ac:dyDescent="0.3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5.75" customHeight="1" x14ac:dyDescent="0.3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5.75" customHeight="1" x14ac:dyDescent="0.3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5.75" customHeight="1" x14ac:dyDescent="0.3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5.75" customHeight="1" x14ac:dyDescent="0.3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5.75" customHeight="1" x14ac:dyDescent="0.3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5.75" customHeight="1" x14ac:dyDescent="0.3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5.75" customHeight="1" x14ac:dyDescent="0.3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5.75" customHeight="1" x14ac:dyDescent="0.3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5.75" customHeight="1" x14ac:dyDescent="0.3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5.75" customHeight="1" x14ac:dyDescent="0.3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5.75" customHeight="1" x14ac:dyDescent="0.3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5.75" customHeight="1" x14ac:dyDescent="0.3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5.75" customHeight="1" x14ac:dyDescent="0.3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5.75" customHeight="1" x14ac:dyDescent="0.3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5.75" customHeight="1" x14ac:dyDescent="0.3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5.75" customHeight="1" x14ac:dyDescent="0.3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5.75" customHeight="1" x14ac:dyDescent="0.3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5.75" customHeight="1" x14ac:dyDescent="0.3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5.75" customHeight="1" x14ac:dyDescent="0.3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5.75" customHeight="1" x14ac:dyDescent="0.3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5.75" customHeight="1" x14ac:dyDescent="0.3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5.75" customHeight="1" x14ac:dyDescent="0.3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5.75" customHeight="1" x14ac:dyDescent="0.3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5.75" customHeight="1" x14ac:dyDescent="0.3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5.75" customHeight="1" x14ac:dyDescent="0.3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5.75" customHeight="1" x14ac:dyDescent="0.3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5.75" customHeight="1" x14ac:dyDescent="0.3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5.75" customHeight="1" x14ac:dyDescent="0.3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5.75" customHeight="1" x14ac:dyDescent="0.3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5.75" customHeight="1" x14ac:dyDescent="0.3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5.75" customHeight="1" x14ac:dyDescent="0.3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5.75" customHeight="1" x14ac:dyDescent="0.3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5.75" customHeight="1" x14ac:dyDescent="0.3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5.75" customHeight="1" x14ac:dyDescent="0.3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5.75" customHeight="1" x14ac:dyDescent="0.3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5.75" customHeight="1" x14ac:dyDescent="0.3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5.75" customHeight="1" x14ac:dyDescent="0.3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5.75" customHeight="1" x14ac:dyDescent="0.3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5.75" customHeight="1" x14ac:dyDescent="0.3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5.75" customHeight="1" x14ac:dyDescent="0.3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5.75" customHeight="1" x14ac:dyDescent="0.3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5.75" customHeight="1" x14ac:dyDescent="0.3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5.75" customHeight="1" x14ac:dyDescent="0.3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5.75" customHeight="1" x14ac:dyDescent="0.3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5.75" customHeight="1" x14ac:dyDescent="0.3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5.75" customHeight="1" x14ac:dyDescent="0.3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5.75" customHeight="1" x14ac:dyDescent="0.3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5.75" customHeight="1" x14ac:dyDescent="0.3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5.75" customHeight="1" x14ac:dyDescent="0.3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5.75" customHeight="1" x14ac:dyDescent="0.3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5.75" customHeight="1" x14ac:dyDescent="0.3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5.75" customHeight="1" x14ac:dyDescent="0.3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5.75" customHeight="1" x14ac:dyDescent="0.3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5.75" customHeight="1" x14ac:dyDescent="0.3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5.75" customHeight="1" x14ac:dyDescent="0.3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5.75" customHeight="1" x14ac:dyDescent="0.3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5.75" customHeight="1" x14ac:dyDescent="0.3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5.75" customHeight="1" x14ac:dyDescent="0.3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5.75" customHeight="1" x14ac:dyDescent="0.3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5.75" customHeight="1" x14ac:dyDescent="0.3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5.75" customHeight="1" x14ac:dyDescent="0.3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5.75" customHeight="1" x14ac:dyDescent="0.3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5.75" customHeight="1" x14ac:dyDescent="0.3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5.75" customHeight="1" x14ac:dyDescent="0.3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5.75" customHeight="1" x14ac:dyDescent="0.3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5.75" customHeight="1" x14ac:dyDescent="0.3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5.75" customHeight="1" x14ac:dyDescent="0.3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5.75" customHeight="1" x14ac:dyDescent="0.3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5.75" customHeight="1" x14ac:dyDescent="0.3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5.75" customHeight="1" x14ac:dyDescent="0.3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5.75" customHeight="1" x14ac:dyDescent="0.3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5.75" customHeight="1" x14ac:dyDescent="0.3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5.75" customHeight="1" x14ac:dyDescent="0.3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5.75" customHeight="1" x14ac:dyDescent="0.3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5.75" customHeight="1" x14ac:dyDescent="0.3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5.75" customHeight="1" x14ac:dyDescent="0.3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5.75" customHeight="1" x14ac:dyDescent="0.3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5.75" customHeight="1" x14ac:dyDescent="0.3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5.75" customHeight="1" x14ac:dyDescent="0.3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5.75" customHeight="1" x14ac:dyDescent="0.3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5.75" customHeight="1" x14ac:dyDescent="0.3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5.75" customHeight="1" x14ac:dyDescent="0.3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5.75" customHeight="1" x14ac:dyDescent="0.3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5.75" customHeight="1" x14ac:dyDescent="0.3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5.75" customHeight="1" x14ac:dyDescent="0.3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5.75" customHeight="1" x14ac:dyDescent="0.3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5.75" customHeight="1" x14ac:dyDescent="0.3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5.75" customHeight="1" x14ac:dyDescent="0.3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5.75" customHeight="1" x14ac:dyDescent="0.3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5.75" customHeight="1" x14ac:dyDescent="0.3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5.75" customHeight="1" x14ac:dyDescent="0.3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5.75" customHeight="1" x14ac:dyDescent="0.3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5.75" customHeight="1" x14ac:dyDescent="0.3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5.75" customHeight="1" x14ac:dyDescent="0.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5.75" customHeight="1" x14ac:dyDescent="0.3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5.75" customHeight="1" x14ac:dyDescent="0.3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5.75" customHeight="1" x14ac:dyDescent="0.3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5.75" customHeight="1" x14ac:dyDescent="0.3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5.75" customHeight="1" x14ac:dyDescent="0.3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5.75" customHeight="1" x14ac:dyDescent="0.3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5.75" customHeight="1" x14ac:dyDescent="0.3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5.75" customHeight="1" x14ac:dyDescent="0.3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5.75" customHeight="1" x14ac:dyDescent="0.3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5.75" customHeight="1" x14ac:dyDescent="0.3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5.75" customHeight="1" x14ac:dyDescent="0.3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5.75" customHeight="1" x14ac:dyDescent="0.3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5.75" customHeight="1" x14ac:dyDescent="0.3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5.75" customHeight="1" x14ac:dyDescent="0.3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5.75" customHeight="1" x14ac:dyDescent="0.3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5.75" customHeight="1" x14ac:dyDescent="0.3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5.75" customHeight="1" x14ac:dyDescent="0.3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5.75" customHeight="1" x14ac:dyDescent="0.3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5.75" customHeight="1" x14ac:dyDescent="0.3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5.75" customHeight="1" x14ac:dyDescent="0.3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5.75" customHeight="1" x14ac:dyDescent="0.3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5.75" customHeight="1" x14ac:dyDescent="0.3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5.75" customHeight="1" x14ac:dyDescent="0.3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5.75" customHeight="1" x14ac:dyDescent="0.3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5.75" customHeight="1" x14ac:dyDescent="0.3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5.75" customHeight="1" x14ac:dyDescent="0.3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5.75" customHeight="1" x14ac:dyDescent="0.3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5.75" customHeight="1" x14ac:dyDescent="0.3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5.75" customHeight="1" x14ac:dyDescent="0.3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5.75" customHeight="1" x14ac:dyDescent="0.3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5.75" customHeight="1" x14ac:dyDescent="0.3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5.75" customHeight="1" x14ac:dyDescent="0.3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5.75" customHeight="1" x14ac:dyDescent="0.3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5.75" customHeight="1" x14ac:dyDescent="0.3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5.75" customHeight="1" x14ac:dyDescent="0.3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5.75" customHeight="1" x14ac:dyDescent="0.3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5.75" customHeight="1" x14ac:dyDescent="0.3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5.75" customHeight="1" x14ac:dyDescent="0.3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5.75" customHeight="1" x14ac:dyDescent="0.3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5.75" customHeight="1" x14ac:dyDescent="0.3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5.75" customHeight="1" x14ac:dyDescent="0.3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5.75" customHeight="1" x14ac:dyDescent="0.3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5.75" customHeight="1" x14ac:dyDescent="0.3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5.75" customHeight="1" x14ac:dyDescent="0.3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5.75" customHeight="1" x14ac:dyDescent="0.3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5.75" customHeight="1" x14ac:dyDescent="0.3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5.75" customHeight="1" x14ac:dyDescent="0.3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5.75" customHeight="1" x14ac:dyDescent="0.3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5.75" customHeight="1" x14ac:dyDescent="0.3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5.75" customHeight="1" x14ac:dyDescent="0.3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5.75" customHeight="1" x14ac:dyDescent="0.3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5.75" customHeight="1" x14ac:dyDescent="0.3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5.75" customHeight="1" x14ac:dyDescent="0.3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5.75" customHeight="1" x14ac:dyDescent="0.3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5.75" customHeight="1" x14ac:dyDescent="0.3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5.75" customHeight="1" x14ac:dyDescent="0.3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5.75" customHeight="1" x14ac:dyDescent="0.3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5.75" customHeight="1" x14ac:dyDescent="0.3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5.75" customHeight="1" x14ac:dyDescent="0.3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5.75" customHeight="1" x14ac:dyDescent="0.3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5.75" customHeight="1" x14ac:dyDescent="0.3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5.75" customHeight="1" x14ac:dyDescent="0.3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5.75" customHeight="1" x14ac:dyDescent="0.3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5.75" customHeight="1" x14ac:dyDescent="0.3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5.75" customHeight="1" x14ac:dyDescent="0.3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5.75" customHeight="1" x14ac:dyDescent="0.3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5.75" customHeight="1" x14ac:dyDescent="0.3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5.75" customHeight="1" x14ac:dyDescent="0.3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5.75" customHeight="1" x14ac:dyDescent="0.3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5.75" customHeight="1" x14ac:dyDescent="0.3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5.75" customHeight="1" x14ac:dyDescent="0.3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5.75" customHeight="1" x14ac:dyDescent="0.3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5.75" customHeight="1" x14ac:dyDescent="0.3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5.75" customHeight="1" x14ac:dyDescent="0.3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5.75" customHeight="1" x14ac:dyDescent="0.3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5.75" customHeight="1" x14ac:dyDescent="0.3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5.75" customHeight="1" x14ac:dyDescent="0.3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5.75" customHeight="1" x14ac:dyDescent="0.3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5.75" customHeight="1" x14ac:dyDescent="0.3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5.75" customHeight="1" x14ac:dyDescent="0.3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5.75" customHeight="1" x14ac:dyDescent="0.3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5.75" customHeight="1" x14ac:dyDescent="0.3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5.75" customHeight="1" x14ac:dyDescent="0.3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5.75" customHeight="1" x14ac:dyDescent="0.3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5.75" customHeight="1" x14ac:dyDescent="0.3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5.75" customHeight="1" x14ac:dyDescent="0.3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5.75" customHeight="1" x14ac:dyDescent="0.3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5.75" customHeight="1" x14ac:dyDescent="0.3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5.75" customHeight="1" x14ac:dyDescent="0.3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5.75" customHeight="1" x14ac:dyDescent="0.3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5.75" customHeight="1" x14ac:dyDescent="0.3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5.75" customHeight="1" x14ac:dyDescent="0.3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5.75" customHeight="1" x14ac:dyDescent="0.3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5.75" customHeight="1" x14ac:dyDescent="0.3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5.75" customHeight="1" x14ac:dyDescent="0.3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5.75" customHeight="1" x14ac:dyDescent="0.3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5.75" customHeight="1" x14ac:dyDescent="0.3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5.75" customHeight="1" x14ac:dyDescent="0.3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5.75" customHeight="1" x14ac:dyDescent="0.3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5.75" customHeight="1" x14ac:dyDescent="0.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5.75" customHeight="1" x14ac:dyDescent="0.3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5.75" customHeight="1" x14ac:dyDescent="0.3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5.75" customHeight="1" x14ac:dyDescent="0.3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5.75" customHeight="1" x14ac:dyDescent="0.3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5.75" customHeight="1" x14ac:dyDescent="0.3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5.75" customHeight="1" x14ac:dyDescent="0.3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5.75" customHeight="1" x14ac:dyDescent="0.3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5.75" customHeight="1" x14ac:dyDescent="0.3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5.75" customHeight="1" x14ac:dyDescent="0.3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5.75" customHeight="1" x14ac:dyDescent="0.3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5.75" customHeight="1" x14ac:dyDescent="0.3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5.75" customHeight="1" x14ac:dyDescent="0.3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5.75" customHeight="1" x14ac:dyDescent="0.3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5.75" customHeight="1" x14ac:dyDescent="0.3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5.75" customHeight="1" x14ac:dyDescent="0.3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5.75" customHeight="1" x14ac:dyDescent="0.3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5.75" customHeight="1" x14ac:dyDescent="0.3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5.75" customHeight="1" x14ac:dyDescent="0.3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5.75" customHeight="1" x14ac:dyDescent="0.3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5.75" customHeight="1" x14ac:dyDescent="0.3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5.75" customHeight="1" x14ac:dyDescent="0.3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5.75" customHeight="1" x14ac:dyDescent="0.3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5.75" customHeight="1" x14ac:dyDescent="0.3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5.75" customHeight="1" x14ac:dyDescent="0.3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5.75" customHeight="1" x14ac:dyDescent="0.3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5.75" customHeight="1" x14ac:dyDescent="0.3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5.75" customHeight="1" x14ac:dyDescent="0.3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5.75" customHeight="1" x14ac:dyDescent="0.3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5.75" customHeight="1" x14ac:dyDescent="0.3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5.75" customHeight="1" x14ac:dyDescent="0.3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5.75" customHeight="1" x14ac:dyDescent="0.3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5.75" customHeight="1" x14ac:dyDescent="0.3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5.75" customHeight="1" x14ac:dyDescent="0.3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5.75" customHeight="1" x14ac:dyDescent="0.3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5.75" customHeight="1" x14ac:dyDescent="0.3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5.75" customHeight="1" x14ac:dyDescent="0.3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5.75" customHeight="1" x14ac:dyDescent="0.3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5.75" customHeight="1" x14ac:dyDescent="0.3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5.75" customHeight="1" x14ac:dyDescent="0.3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5.75" customHeight="1" x14ac:dyDescent="0.3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5.75" customHeight="1" x14ac:dyDescent="0.3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5.75" customHeight="1" x14ac:dyDescent="0.3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5.75" customHeight="1" x14ac:dyDescent="0.3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5.75" customHeight="1" x14ac:dyDescent="0.3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5.75" customHeight="1" x14ac:dyDescent="0.3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5.75" customHeight="1" x14ac:dyDescent="0.3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5.75" customHeight="1" x14ac:dyDescent="0.3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5.75" customHeight="1" x14ac:dyDescent="0.3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5.75" customHeight="1" x14ac:dyDescent="0.3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5.75" customHeight="1" x14ac:dyDescent="0.3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5.75" customHeight="1" x14ac:dyDescent="0.3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5.75" customHeight="1" x14ac:dyDescent="0.3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5.75" customHeight="1" x14ac:dyDescent="0.3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5.75" customHeight="1" x14ac:dyDescent="0.3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5.75" customHeight="1" x14ac:dyDescent="0.3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5.75" customHeight="1" x14ac:dyDescent="0.3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5.75" customHeight="1" x14ac:dyDescent="0.3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5.75" customHeight="1" x14ac:dyDescent="0.3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5.75" customHeight="1" x14ac:dyDescent="0.3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5.75" customHeight="1" x14ac:dyDescent="0.3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5.75" customHeight="1" x14ac:dyDescent="0.3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5.75" customHeight="1" x14ac:dyDescent="0.3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5.75" customHeight="1" x14ac:dyDescent="0.3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5.75" customHeight="1" x14ac:dyDescent="0.3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5.75" customHeight="1" x14ac:dyDescent="0.3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5.75" customHeight="1" x14ac:dyDescent="0.3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5.75" customHeight="1" x14ac:dyDescent="0.3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5.75" customHeight="1" x14ac:dyDescent="0.3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5.75" customHeight="1" x14ac:dyDescent="0.3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5.75" customHeight="1" x14ac:dyDescent="0.3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5.75" customHeight="1" x14ac:dyDescent="0.3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5.75" customHeight="1" x14ac:dyDescent="0.3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5.75" customHeight="1" x14ac:dyDescent="0.3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5.75" customHeight="1" x14ac:dyDescent="0.3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5.75" customHeight="1" x14ac:dyDescent="0.3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5.75" customHeight="1" x14ac:dyDescent="0.3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5.75" customHeight="1" x14ac:dyDescent="0.3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5.75" customHeight="1" x14ac:dyDescent="0.3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5.75" customHeight="1" x14ac:dyDescent="0.3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5.75" customHeight="1" x14ac:dyDescent="0.3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5.75" customHeight="1" x14ac:dyDescent="0.3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5.75" customHeight="1" x14ac:dyDescent="0.3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5.75" customHeight="1" x14ac:dyDescent="0.3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5.75" customHeight="1" x14ac:dyDescent="0.3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5.75" customHeight="1" x14ac:dyDescent="0.3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5.75" customHeight="1" x14ac:dyDescent="0.3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5.75" customHeight="1" x14ac:dyDescent="0.3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5.75" customHeight="1" x14ac:dyDescent="0.3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5.75" customHeight="1" x14ac:dyDescent="0.3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5.75" customHeight="1" x14ac:dyDescent="0.3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5.75" customHeight="1" x14ac:dyDescent="0.3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5.75" customHeight="1" x14ac:dyDescent="0.3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5.75" customHeight="1" x14ac:dyDescent="0.3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5.75" customHeight="1" x14ac:dyDescent="0.3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5.75" customHeight="1" x14ac:dyDescent="0.3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5.75" customHeight="1" x14ac:dyDescent="0.3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5.75" customHeight="1" x14ac:dyDescent="0.3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5.75" customHeight="1" x14ac:dyDescent="0.3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5.75" customHeight="1" x14ac:dyDescent="0.3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5.75" customHeight="1" x14ac:dyDescent="0.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5.75" customHeight="1" x14ac:dyDescent="0.3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5.75" customHeight="1" x14ac:dyDescent="0.3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5.75" customHeight="1" x14ac:dyDescent="0.3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5.75" customHeight="1" x14ac:dyDescent="0.3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5.75" customHeight="1" x14ac:dyDescent="0.3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5.75" customHeight="1" x14ac:dyDescent="0.3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5.75" customHeight="1" x14ac:dyDescent="0.3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5.75" customHeight="1" x14ac:dyDescent="0.3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5.75" customHeight="1" x14ac:dyDescent="0.3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5.75" customHeight="1" x14ac:dyDescent="0.3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5.75" customHeight="1" x14ac:dyDescent="0.3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5.75" customHeight="1" x14ac:dyDescent="0.3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5.75" customHeight="1" x14ac:dyDescent="0.3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5.75" customHeight="1" x14ac:dyDescent="0.3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5.75" customHeight="1" x14ac:dyDescent="0.3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5.75" customHeight="1" x14ac:dyDescent="0.3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5.75" customHeight="1" x14ac:dyDescent="0.3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5.75" customHeight="1" x14ac:dyDescent="0.3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5.75" customHeight="1" x14ac:dyDescent="0.3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5.75" customHeight="1" x14ac:dyDescent="0.3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5.75" customHeight="1" x14ac:dyDescent="0.3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5.75" customHeight="1" x14ac:dyDescent="0.3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5.75" customHeight="1" x14ac:dyDescent="0.3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5.75" customHeight="1" x14ac:dyDescent="0.3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5.75" customHeight="1" x14ac:dyDescent="0.3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5.75" customHeight="1" x14ac:dyDescent="0.3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5.75" customHeight="1" x14ac:dyDescent="0.3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5.75" customHeight="1" x14ac:dyDescent="0.3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5.75" customHeight="1" x14ac:dyDescent="0.3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5.75" customHeight="1" x14ac:dyDescent="0.3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5.75" customHeight="1" x14ac:dyDescent="0.3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5.75" customHeight="1" x14ac:dyDescent="0.3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5.75" customHeight="1" x14ac:dyDescent="0.3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5.75" customHeight="1" x14ac:dyDescent="0.3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5.75" customHeight="1" x14ac:dyDescent="0.3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5.75" customHeight="1" x14ac:dyDescent="0.3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5.75" customHeight="1" x14ac:dyDescent="0.3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5.75" customHeight="1" x14ac:dyDescent="0.3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5.75" customHeight="1" x14ac:dyDescent="0.3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5.75" customHeight="1" x14ac:dyDescent="0.3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5.75" customHeight="1" x14ac:dyDescent="0.3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5.75" customHeight="1" x14ac:dyDescent="0.3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5.75" customHeight="1" x14ac:dyDescent="0.3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5.75" customHeight="1" x14ac:dyDescent="0.3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5.75" customHeight="1" x14ac:dyDescent="0.3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5.75" customHeight="1" x14ac:dyDescent="0.3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5.75" customHeight="1" x14ac:dyDescent="0.3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5.75" customHeight="1" x14ac:dyDescent="0.3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5.75" customHeight="1" x14ac:dyDescent="0.3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5.75" customHeight="1" x14ac:dyDescent="0.3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5.75" customHeight="1" x14ac:dyDescent="0.3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5.75" customHeight="1" x14ac:dyDescent="0.3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5.75" customHeight="1" x14ac:dyDescent="0.3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5.75" customHeight="1" x14ac:dyDescent="0.3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5.75" customHeight="1" x14ac:dyDescent="0.3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5.75" customHeight="1" x14ac:dyDescent="0.3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5.75" customHeight="1" x14ac:dyDescent="0.3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5.75" customHeight="1" x14ac:dyDescent="0.3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5.75" customHeight="1" x14ac:dyDescent="0.3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5.75" customHeight="1" x14ac:dyDescent="0.3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5.75" customHeight="1" x14ac:dyDescent="0.3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5.75" customHeight="1" x14ac:dyDescent="0.3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5.75" customHeight="1" x14ac:dyDescent="0.3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5.75" customHeight="1" x14ac:dyDescent="0.3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5.75" customHeight="1" x14ac:dyDescent="0.3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5.75" customHeight="1" x14ac:dyDescent="0.3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5.75" customHeight="1" x14ac:dyDescent="0.3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5.75" customHeight="1" x14ac:dyDescent="0.3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5.75" customHeight="1" x14ac:dyDescent="0.3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5.75" customHeight="1" x14ac:dyDescent="0.3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5.75" customHeight="1" x14ac:dyDescent="0.3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5.75" customHeight="1" x14ac:dyDescent="0.3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5.75" customHeight="1" x14ac:dyDescent="0.3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5.75" customHeight="1" x14ac:dyDescent="0.3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5.75" customHeight="1" x14ac:dyDescent="0.3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5.75" customHeight="1" x14ac:dyDescent="0.3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5.75" customHeight="1" x14ac:dyDescent="0.3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5.75" customHeight="1" x14ac:dyDescent="0.3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5.75" customHeight="1" x14ac:dyDescent="0.3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5.75" customHeight="1" x14ac:dyDescent="0.3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5.75" customHeight="1" x14ac:dyDescent="0.3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5.75" customHeight="1" x14ac:dyDescent="0.3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5.75" customHeight="1" x14ac:dyDescent="0.3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5.75" customHeight="1" x14ac:dyDescent="0.3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5.75" customHeight="1" x14ac:dyDescent="0.3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5.75" customHeight="1" x14ac:dyDescent="0.3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5.75" customHeight="1" x14ac:dyDescent="0.3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5.75" customHeight="1" x14ac:dyDescent="0.3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5.75" customHeight="1" x14ac:dyDescent="0.3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5.75" customHeight="1" x14ac:dyDescent="0.3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5.75" customHeight="1" x14ac:dyDescent="0.3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5.75" customHeight="1" x14ac:dyDescent="0.3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5.75" customHeight="1" x14ac:dyDescent="0.3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5.75" customHeight="1" x14ac:dyDescent="0.3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5.75" customHeight="1" x14ac:dyDescent="0.3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5.75" customHeight="1" x14ac:dyDescent="0.3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5.75" customHeight="1" x14ac:dyDescent="0.3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5.75" customHeight="1" x14ac:dyDescent="0.3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5.75" customHeight="1" x14ac:dyDescent="0.3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5.75" customHeight="1" x14ac:dyDescent="0.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5.75" customHeight="1" x14ac:dyDescent="0.3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5.75" customHeight="1" x14ac:dyDescent="0.3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5.75" customHeight="1" x14ac:dyDescent="0.3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5.75" customHeight="1" x14ac:dyDescent="0.3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5.75" customHeight="1" x14ac:dyDescent="0.3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5.75" customHeight="1" x14ac:dyDescent="0.3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5.75" customHeight="1" x14ac:dyDescent="0.3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5.75" customHeight="1" x14ac:dyDescent="0.3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5.75" customHeight="1" x14ac:dyDescent="0.3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5.75" customHeight="1" x14ac:dyDescent="0.3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5.75" customHeight="1" x14ac:dyDescent="0.3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5.75" customHeight="1" x14ac:dyDescent="0.3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5.75" customHeight="1" x14ac:dyDescent="0.3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5.75" customHeight="1" x14ac:dyDescent="0.3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5.75" customHeight="1" x14ac:dyDescent="0.3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5.75" customHeight="1" x14ac:dyDescent="0.3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5.75" customHeight="1" x14ac:dyDescent="0.3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5.75" customHeight="1" x14ac:dyDescent="0.3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5.75" customHeight="1" x14ac:dyDescent="0.3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5.75" customHeight="1" x14ac:dyDescent="0.3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5.75" customHeight="1" x14ac:dyDescent="0.3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5.75" customHeight="1" x14ac:dyDescent="0.3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5.75" customHeight="1" x14ac:dyDescent="0.3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5.75" customHeight="1" x14ac:dyDescent="0.3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5.75" customHeight="1" x14ac:dyDescent="0.3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5.75" customHeight="1" x14ac:dyDescent="0.3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5.75" customHeight="1" x14ac:dyDescent="0.3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5.75" customHeight="1" x14ac:dyDescent="0.3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5.75" customHeight="1" x14ac:dyDescent="0.3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5.75" customHeight="1" x14ac:dyDescent="0.3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5.75" customHeight="1" x14ac:dyDescent="0.3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5.75" customHeight="1" x14ac:dyDescent="0.3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5.75" customHeight="1" x14ac:dyDescent="0.3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5.75" customHeight="1" x14ac:dyDescent="0.3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5.75" customHeight="1" x14ac:dyDescent="0.3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5.75" customHeight="1" x14ac:dyDescent="0.3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5.75" customHeight="1" x14ac:dyDescent="0.3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5.75" customHeight="1" x14ac:dyDescent="0.3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5.75" customHeight="1" x14ac:dyDescent="0.3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5.75" customHeight="1" x14ac:dyDescent="0.3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5.75" customHeight="1" x14ac:dyDescent="0.3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5.75" customHeight="1" x14ac:dyDescent="0.3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5.75" customHeight="1" x14ac:dyDescent="0.3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5.75" customHeight="1" x14ac:dyDescent="0.3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5.75" customHeight="1" x14ac:dyDescent="0.3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5.75" customHeight="1" x14ac:dyDescent="0.3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5.75" customHeight="1" x14ac:dyDescent="0.3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5.75" customHeight="1" x14ac:dyDescent="0.3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5.75" customHeight="1" x14ac:dyDescent="0.3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5.75" customHeight="1" x14ac:dyDescent="0.3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5.75" customHeight="1" x14ac:dyDescent="0.3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5.75" customHeight="1" x14ac:dyDescent="0.3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5.75" customHeight="1" x14ac:dyDescent="0.3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5.75" customHeight="1" x14ac:dyDescent="0.3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5.75" customHeight="1" x14ac:dyDescent="0.3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5.75" customHeight="1" x14ac:dyDescent="0.3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5.75" customHeight="1" x14ac:dyDescent="0.3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5.75" customHeight="1" x14ac:dyDescent="0.3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5.75" customHeight="1" x14ac:dyDescent="0.3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5.75" customHeight="1" x14ac:dyDescent="0.3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5.75" customHeight="1" x14ac:dyDescent="0.3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5.75" customHeight="1" x14ac:dyDescent="0.3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5.75" customHeight="1" x14ac:dyDescent="0.3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5.75" customHeight="1" x14ac:dyDescent="0.3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5.75" customHeight="1" x14ac:dyDescent="0.3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phoneticPr fontId="7" type="noConversion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zoomScale="80" zoomScaleNormal="80" workbookViewId="0">
      <pane ySplit="1" topLeftCell="A2" activePane="bottomLeft" state="frozen"/>
      <selection pane="bottomLeft" activeCell="D1" sqref="D1:D1048576"/>
    </sheetView>
  </sheetViews>
  <sheetFormatPr defaultColWidth="20.6328125" defaultRowHeight="15" customHeight="1" x14ac:dyDescent="0.35"/>
  <cols>
    <col min="1" max="1" width="10.6328125" customWidth="1"/>
  </cols>
  <sheetData>
    <row r="1" spans="1:27" ht="14.5" x14ac:dyDescent="0.35">
      <c r="A1" s="1" t="s">
        <v>563</v>
      </c>
      <c r="B1" s="1" t="s">
        <v>0</v>
      </c>
      <c r="C1" s="1" t="s">
        <v>1</v>
      </c>
      <c r="D1" s="1" t="s">
        <v>1185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5" x14ac:dyDescent="0.35">
      <c r="A2" s="2" t="s">
        <v>1022</v>
      </c>
      <c r="B2" s="2" t="s">
        <v>431</v>
      </c>
      <c r="C2" s="7" t="str">
        <f>HYPERLINK("https://tools.wmflabs.org/geohack/geohack.php?params=40.4078_N_29.3388_E_type:city","40.4078°N 29.3388°E")</f>
        <v>40.4078°N 29.3388°E</v>
      </c>
      <c r="D2" s="7" t="s">
        <v>1213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5" x14ac:dyDescent="0.35">
      <c r="A3" s="2" t="s">
        <v>1023</v>
      </c>
      <c r="B3" s="2" t="s">
        <v>433</v>
      </c>
      <c r="C3" s="7" t="str">
        <f>HYPERLINK("https://tools.wmflabs.org/geohack/geohack.php?params=40.5043_N_29.2959_E_type:city","40.5043°N 29.2959°E")</f>
        <v>40.5043°N 29.2959°E</v>
      </c>
      <c r="D3" s="7" t="s">
        <v>1213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5" x14ac:dyDescent="0.35">
      <c r="A4" s="2" t="s">
        <v>1024</v>
      </c>
      <c r="B4" s="2" t="s">
        <v>435</v>
      </c>
      <c r="C4" s="7" t="str">
        <f>HYPERLINK("https://tools.wmflabs.org/geohack/geohack.php?params=40.3610_N_29.4085_E_type:city","40.3610°N 29.4085°E")</f>
        <v>40.3610°N 29.4085°E</v>
      </c>
      <c r="D4" s="7" t="s">
        <v>1213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5" x14ac:dyDescent="0.35">
      <c r="A5" s="2" t="s">
        <v>1025</v>
      </c>
      <c r="B5" s="2" t="s">
        <v>436</v>
      </c>
      <c r="C5" s="7" t="str">
        <f>HYPERLINK("https://tools.wmflabs.org/geohack/geohack.php?params=40.5185_N_29.4513_E_type:city","40.5185°N 29.4513°E")</f>
        <v>40.5185°N 29.4513°E</v>
      </c>
      <c r="D5" s="7" t="s">
        <v>1213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5" x14ac:dyDescent="0.35">
      <c r="A6" s="2" t="s">
        <v>1026</v>
      </c>
      <c r="B6" s="2" t="s">
        <v>437</v>
      </c>
      <c r="C6" s="7" t="str">
        <f>HYPERLINK("https://tools.wmflabs.org/geohack/geohack.php?params=40.4884_N_29.3078_E_type:city","40.4884°N 29.3078°E")</f>
        <v>40.4884°N 29.3078°E</v>
      </c>
      <c r="D6" s="7" t="s">
        <v>1213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5" x14ac:dyDescent="0.35">
      <c r="A7" s="2" t="s">
        <v>1027</v>
      </c>
      <c r="B7" s="2" t="s">
        <v>79</v>
      </c>
      <c r="C7" s="7" t="str">
        <f>HYPERLINK("https://tools.wmflabs.org/geohack/geohack.php?params=40.4584_N_29.2933_E_type:city","40.4584°N 29.2933°E")</f>
        <v>40.4584°N 29.2933°E</v>
      </c>
      <c r="D7" s="7" t="s">
        <v>1213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5" x14ac:dyDescent="0.35">
      <c r="A8" s="2" t="s">
        <v>1028</v>
      </c>
      <c r="B8" s="2" t="s">
        <v>440</v>
      </c>
      <c r="C8" s="7" t="str">
        <f>HYPERLINK("https://tools.wmflabs.org/geohack/geohack.php?params=40.5347_N_29.3377_E_type:city","40.5347°N 29.3377°E")</f>
        <v>40.5347°N 29.3377°E</v>
      </c>
      <c r="D8" s="7" t="s">
        <v>1213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5" x14ac:dyDescent="0.35">
      <c r="A9" s="2" t="s">
        <v>1029</v>
      </c>
      <c r="B9" s="2" t="s">
        <v>441</v>
      </c>
      <c r="C9" s="7" t="str">
        <f>HYPERLINK("https://tools.wmflabs.org/geohack/geohack.php?params=40.3977_N_29.3749_E_type:city","40.3977°N 29.3749°E")</f>
        <v>40.3977°N 29.3749°E</v>
      </c>
      <c r="D9" s="7" t="s">
        <v>1213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5" x14ac:dyDescent="0.35">
      <c r="A10" s="2" t="s">
        <v>1030</v>
      </c>
      <c r="B10" s="2" t="s">
        <v>134</v>
      </c>
      <c r="C10" s="7" t="str">
        <f>HYPERLINK("https://tools.wmflabs.org/geohack/geohack.php?params=40.2153_N_29.0593_E_type:city","40.2153°N 29.0593°E")</f>
        <v>40.2153°N 29.0593°E</v>
      </c>
      <c r="D10" s="7" t="s">
        <v>1213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5" x14ac:dyDescent="0.35">
      <c r="A11" s="2" t="s">
        <v>1031</v>
      </c>
      <c r="B11" s="2" t="s">
        <v>140</v>
      </c>
      <c r="C11" s="7" t="str">
        <f>HYPERLINK("https://tools.wmflabs.org/geohack/geohack.php?params=40.4902_N_29.2504_E_type:city","40.4902°N 29.2504°E")</f>
        <v>40.4902°N 29.2504°E</v>
      </c>
      <c r="D11" s="7" t="s">
        <v>1213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5" x14ac:dyDescent="0.35">
      <c r="A12" s="2" t="s">
        <v>1032</v>
      </c>
      <c r="B12" s="2" t="s">
        <v>442</v>
      </c>
      <c r="C12" s="7" t="str">
        <f>HYPERLINK("https://tools.wmflabs.org/geohack/geohack.php?params=40.4502_N_29.2597_E_type:city","40.4502°N 29.2597°E")</f>
        <v>40.4502°N 29.2597°E</v>
      </c>
      <c r="D12" s="7" t="s">
        <v>1213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5" x14ac:dyDescent="0.35">
      <c r="A13" s="2" t="s">
        <v>1033</v>
      </c>
      <c r="B13" s="2" t="s">
        <v>443</v>
      </c>
      <c r="C13" s="7" t="str">
        <f>HYPERLINK("https://tools.wmflabs.org/geohack/geohack.php?params=40.4077_N_29.2801_E_type:city","40.4077°N 29.2801°E")</f>
        <v>40.4077°N 29.2801°E</v>
      </c>
      <c r="D13" s="7" t="s">
        <v>1213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5" x14ac:dyDescent="0.35">
      <c r="A14" s="2" t="s">
        <v>1034</v>
      </c>
      <c r="B14" s="2" t="s">
        <v>444</v>
      </c>
      <c r="C14" s="7" t="str">
        <f>HYPERLINK("https://tools.wmflabs.org/geohack/geohack.php?params=40.3967_N_29.3506_E_type:city","40.3967°N 29.3506°E")</f>
        <v>40.3967°N 29.3506°E</v>
      </c>
      <c r="D14" s="7" t="s">
        <v>1213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5" x14ac:dyDescent="0.35">
      <c r="A15" s="2" t="s">
        <v>1035</v>
      </c>
      <c r="B15" s="2" t="s">
        <v>445</v>
      </c>
      <c r="C15" s="7" t="str">
        <f>HYPERLINK("https://tools.wmflabs.org/geohack/geohack.php?params=40.4068_N_29.2997_E_type:city","40.4068°N 29.2997°E")</f>
        <v>40.4068°N 29.2997°E</v>
      </c>
      <c r="D15" s="7" t="s">
        <v>1213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5" x14ac:dyDescent="0.35">
      <c r="A16" s="2" t="s">
        <v>1036</v>
      </c>
      <c r="B16" s="2" t="s">
        <v>446</v>
      </c>
      <c r="C16" s="7" t="str">
        <f>HYPERLINK("https://tools.wmflabs.org/geohack/geohack.php?params=40.5177_N_29.2407_E_type:city","40.5177°N 29.2407°E")</f>
        <v>40.5177°N 29.2407°E</v>
      </c>
      <c r="D16" s="7" t="s">
        <v>1213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5" x14ac:dyDescent="0.35">
      <c r="A17" s="2" t="s">
        <v>1037</v>
      </c>
      <c r="B17" s="2" t="s">
        <v>447</v>
      </c>
      <c r="C17" s="7" t="str">
        <f>HYPERLINK("https://tools.wmflabs.org/geohack/geohack.php?params=40.3911_N_29.4365_E_type:city","40.3911°N 29.4365°E")</f>
        <v>40.3911°N 29.4365°E</v>
      </c>
      <c r="D17" s="7" t="s">
        <v>1213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5" x14ac:dyDescent="0.35">
      <c r="A18" s="2" t="s">
        <v>1038</v>
      </c>
      <c r="B18" s="2" t="s">
        <v>258</v>
      </c>
      <c r="C18" s="7" t="str">
        <f>HYPERLINK("https://tools.wmflabs.org/geohack/geohack.php?params=40.4653_N_29.3306_E_type:city","40.4653°N 29.3306°E")</f>
        <v>40.4653°N 29.3306°E</v>
      </c>
      <c r="D18" s="7" t="s">
        <v>1213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5" x14ac:dyDescent="0.35">
      <c r="A19" s="2" t="s">
        <v>1039</v>
      </c>
      <c r="B19" s="2" t="s">
        <v>448</v>
      </c>
      <c r="C19" s="7" t="str">
        <f>HYPERLINK("https://tools.wmflabs.org/geohack/geohack.php?params=40.4029_N_29.2580_E_type:city","40.4029°N 29.2580°E")</f>
        <v>40.4029°N 29.2580°E</v>
      </c>
      <c r="D19" s="7" t="s">
        <v>1213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5" x14ac:dyDescent="0.35">
      <c r="A20" s="2" t="s">
        <v>1040</v>
      </c>
      <c r="B20" s="2" t="s">
        <v>449</v>
      </c>
      <c r="C20" s="7" t="str">
        <f>HYPERLINK("https://tools.wmflabs.org/geohack/geohack.php?params=40.5095_N_29.4748_E_type:city","40.5095°N 29.4748°E")</f>
        <v>40.5095°N 29.4748°E</v>
      </c>
      <c r="D20" s="7" t="s">
        <v>1213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35">
      <c r="A21" s="2" t="s">
        <v>1041</v>
      </c>
      <c r="B21" s="2" t="s">
        <v>270</v>
      </c>
      <c r="C21" s="7" t="str">
        <f>HYPERLINK("https://tools.wmflabs.org/geohack/geohack.php?params=40.5521_N_29.4635_E_type:city","40.5521°N 29.4635°E")</f>
        <v>40.5521°N 29.4635°E</v>
      </c>
      <c r="D21" s="7" t="s">
        <v>1213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5">
      <c r="A22" s="2" t="s">
        <v>1042</v>
      </c>
      <c r="B22" s="2" t="s">
        <v>322</v>
      </c>
      <c r="C22" s="7" t="str">
        <f>HYPERLINK("https://tools.wmflabs.org/geohack/geohack.php?params=40.4935_N_29.3299_E_type:city","40.4935°N 29.3299°E")</f>
        <v>40.4935°N 29.3299°E</v>
      </c>
      <c r="D22" s="7" t="s">
        <v>1213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35">
      <c r="A23" s="2" t="s">
        <v>1043</v>
      </c>
      <c r="B23" s="2" t="s">
        <v>450</v>
      </c>
      <c r="C23" s="7" t="str">
        <f>HYPERLINK("https://tools.wmflabs.org/geohack/geohack.php?params=40.3692_N_29.4840_E_type:city","40.3692°N 29.4840°E")</f>
        <v>40.3692°N 29.4840°E</v>
      </c>
      <c r="D23" s="7" t="s">
        <v>1213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35">
      <c r="A24" s="2" t="s">
        <v>1044</v>
      </c>
      <c r="B24" s="2" t="s">
        <v>451</v>
      </c>
      <c r="C24" s="7" t="str">
        <f>HYPERLINK("https://tools.wmflabs.org/geohack/geohack.php?params=40.4534_N_29.3240_E_type:city","40.4534°N 29.3240°E")</f>
        <v>40.4534°N 29.3240°E</v>
      </c>
      <c r="D24" s="7" t="s">
        <v>1213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35">
      <c r="A25" s="2" t="s">
        <v>1045</v>
      </c>
      <c r="B25" s="2" t="s">
        <v>287</v>
      </c>
      <c r="C25" s="7" t="str">
        <f>HYPERLINK("https://tools.wmflabs.org/geohack/geohack.php?params=40.5472_N_29.3413_E_type:city","40.5472°N 29.3413°E")</f>
        <v>40.5472°N 29.3413°E</v>
      </c>
      <c r="D25" s="7" t="s">
        <v>1213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35">
      <c r="A26" s="2" t="s">
        <v>1046</v>
      </c>
      <c r="B26" s="2" t="s">
        <v>452</v>
      </c>
      <c r="C26" s="7" t="str">
        <f>HYPERLINK("https://tools.wmflabs.org/geohack/geohack.php?params=40.3773_N_29.4559_E_type:city","40.3773°N 29.4559°E")</f>
        <v>40.3773°N 29.4559°E</v>
      </c>
      <c r="D26" s="7" t="s">
        <v>1213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5">
      <c r="A27" s="2" t="s">
        <v>1047</v>
      </c>
      <c r="B27" s="2" t="s">
        <v>453</v>
      </c>
      <c r="C27" s="7" t="str">
        <f>HYPERLINK("https://tools.wmflabs.org/geohack/geohack.php?params=40.3968_N_29.4150_E_type:city","40.3968°N 29.4150°E")</f>
        <v>40.3968°N 29.4150°E</v>
      </c>
      <c r="D27" s="7" t="s">
        <v>1213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5">
      <c r="A28" s="2" t="s">
        <v>1048</v>
      </c>
      <c r="B28" s="2" t="s">
        <v>454</v>
      </c>
      <c r="C28" s="7" t="str">
        <f>HYPERLINK("https://tools.wmflabs.org/geohack/geohack.php?params=40.4924_N_29.3017_E_type:city","40.4924°N 29.3017°E")</f>
        <v>40.4924°N 29.3017°E</v>
      </c>
      <c r="D28" s="7" t="s">
        <v>1213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5">
      <c r="A29" s="2" t="s">
        <v>1049</v>
      </c>
      <c r="B29" s="2" t="s">
        <v>455</v>
      </c>
      <c r="C29" s="7" t="str">
        <f>HYPERLINK("https://tools.wmflabs.org/geohack/geohack.php?params=40.5253_N_29.4099_E_type:city","40.5253°N 29.4099°E")</f>
        <v>40.5253°N 29.4099°E</v>
      </c>
      <c r="D29" s="7" t="s">
        <v>1213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5">
      <c r="A30" s="2" t="s">
        <v>1050</v>
      </c>
      <c r="B30" s="2" t="s">
        <v>456</v>
      </c>
      <c r="C30" s="7" t="str">
        <f>HYPERLINK("https://tools.wmflabs.org/geohack/geohack.php?params=40.4096_N_29.3099_E_type:city","40.4096°N 29.3099°E")</f>
        <v>40.4096°N 29.3099°E</v>
      </c>
      <c r="D30" s="7" t="s">
        <v>1213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5">
      <c r="A31" s="2" t="s">
        <v>1051</v>
      </c>
      <c r="B31" s="2" t="s">
        <v>340</v>
      </c>
      <c r="C31" s="7" t="str">
        <f>HYPERLINK("https://tools.wmflabs.org/geohack/geohack.php?params=40.5351_N_29.3539_E_type:city","40.5351°N 29.3539°E")</f>
        <v>40.5351°N 29.3539°E</v>
      </c>
      <c r="D31" s="7" t="s">
        <v>1213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5">
      <c r="A32" s="2" t="s">
        <v>1052</v>
      </c>
      <c r="B32" s="2" t="s">
        <v>457</v>
      </c>
      <c r="C32" s="7" t="str">
        <f>HYPERLINK("https://tools.wmflabs.org/geohack/geohack.php?params=40.3808_N_29.3934_E_type:city","40.3808°N 29.3934°E")</f>
        <v>40.3808°N 29.3934°E</v>
      </c>
      <c r="D32" s="7" t="s">
        <v>1213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7" type="noConversion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00"/>
  <sheetViews>
    <sheetView zoomScale="80" zoomScaleNormal="80" workbookViewId="0">
      <pane ySplit="1" topLeftCell="A2" activePane="bottomLeft" state="frozen"/>
      <selection pane="bottomLeft" activeCell="D1" sqref="D1:D1048576"/>
    </sheetView>
  </sheetViews>
  <sheetFormatPr defaultColWidth="20.6328125" defaultRowHeight="15" customHeight="1" x14ac:dyDescent="0.35"/>
  <cols>
    <col min="1" max="1" width="10.6328125" customWidth="1"/>
  </cols>
  <sheetData>
    <row r="1" spans="1:27" ht="14.5" x14ac:dyDescent="0.35">
      <c r="A1" s="1" t="s">
        <v>563</v>
      </c>
      <c r="B1" s="1" t="s">
        <v>0</v>
      </c>
      <c r="C1" s="1" t="s">
        <v>1</v>
      </c>
      <c r="D1" s="1" t="s">
        <v>1185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5" x14ac:dyDescent="0.35">
      <c r="A2" s="2" t="s">
        <v>1053</v>
      </c>
      <c r="B2" s="2" t="s">
        <v>463</v>
      </c>
      <c r="C2" s="7" t="str">
        <f>HYPERLINK("https://tools.wmflabs.org/geohack/geohack.php?params=40.3264_N_28.8442_E_type:city","40.3264°N 28.8442°E")</f>
        <v>40.3264°N 28.8442°E</v>
      </c>
      <c r="D2" s="7" t="s">
        <v>1214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5" x14ac:dyDescent="0.35">
      <c r="A3" s="2" t="s">
        <v>1054</v>
      </c>
      <c r="B3" s="2" t="s">
        <v>458</v>
      </c>
      <c r="C3" s="7" t="str">
        <f>HYPERLINK("https://tools.wmflabs.org/geohack/geohack.php?params=40.3546_N_28.9737_E_type:city","40.3546°N 28.9737°E")</f>
        <v>40.3546°N 28.9737°E</v>
      </c>
      <c r="D3" s="7" t="s">
        <v>1215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5" x14ac:dyDescent="0.35">
      <c r="A4" s="2" t="s">
        <v>1055</v>
      </c>
      <c r="B4" s="2" t="s">
        <v>464</v>
      </c>
      <c r="C4" s="7" t="str">
        <f>HYPERLINK("https://tools.wmflabs.org/geohack/geohack.php?params=40.3317_N_28.9155_E_type:city","40.3317°N 28.9155°E")</f>
        <v>40.3317°N 28.9155°E</v>
      </c>
      <c r="D4" s="7" t="s">
        <v>1215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5" x14ac:dyDescent="0.35">
      <c r="A5" s="2" t="s">
        <v>1056</v>
      </c>
      <c r="B5" s="2" t="s">
        <v>465</v>
      </c>
      <c r="C5" s="7" t="str">
        <f>HYPERLINK("https://tools.wmflabs.org/geohack/geohack.php?params=40.2940_N_28.9181_E_type:city","40.2940°N 28.9181°E")</f>
        <v>40.2940°N 28.9181°E</v>
      </c>
      <c r="D5" s="7" t="s">
        <v>1215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5" x14ac:dyDescent="0.35">
      <c r="A6" s="2" t="s">
        <v>1057</v>
      </c>
      <c r="B6" s="2" t="s">
        <v>466</v>
      </c>
      <c r="C6" s="7" t="str">
        <f>HYPERLINK("https://tools.wmflabs.org/geohack/geohack.php?params=40.2741_N_28.8158_E_type:city","40.2741°N 28.8158°E")</f>
        <v>40.2741°N 28.8158°E</v>
      </c>
      <c r="D6" s="7" t="s">
        <v>1214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5" x14ac:dyDescent="0.35">
      <c r="A7" s="2" t="s">
        <v>1058</v>
      </c>
      <c r="B7" s="2" t="s">
        <v>467</v>
      </c>
      <c r="C7" s="7" t="str">
        <f>HYPERLINK("https://tools.wmflabs.org/geohack/geohack.php?params=40.3027_N_28.9400_E_type:city","40.3027°N 28.9400°E")</f>
        <v>40.3027°N 28.9400°E</v>
      </c>
      <c r="D7" s="7" t="s">
        <v>1215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5" x14ac:dyDescent="0.35">
      <c r="A8" s="2" t="s">
        <v>1059</v>
      </c>
      <c r="B8" s="2" t="s">
        <v>468</v>
      </c>
      <c r="C8" s="7" t="str">
        <f>HYPERLINK("https://tools.wmflabs.org/geohack/geohack.php?params=40.3104_N_28.9015_E_type:city","40.3104°N 28.9015°E")</f>
        <v>40.3104°N 28.9015°E</v>
      </c>
      <c r="D8" s="7" t="s">
        <v>1215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5" x14ac:dyDescent="0.35">
      <c r="A9" s="2" t="s">
        <v>1060</v>
      </c>
      <c r="B9" s="2" t="s">
        <v>469</v>
      </c>
      <c r="C9" s="7" t="str">
        <f>HYPERLINK("https://tools.wmflabs.org/geohack/geohack.php?params=40.2964_N_28.6519_E_type:city","40.2964°N 28.6519°E")</f>
        <v>40.2964°N 28.6519°E</v>
      </c>
      <c r="D9" s="7" t="s">
        <v>1216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5" x14ac:dyDescent="0.35">
      <c r="A10" s="2" t="s">
        <v>1061</v>
      </c>
      <c r="B10" s="2" t="s">
        <v>470</v>
      </c>
      <c r="C10" s="7" t="str">
        <f>HYPERLINK("https://tools.wmflabs.org/geohack/geohack.php?params=40.2691_N_28.7819_E_type:city","40.2691°N 28.7819°E")</f>
        <v>40.2691°N 28.7819°E</v>
      </c>
      <c r="D10" s="7" t="s">
        <v>1214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5" x14ac:dyDescent="0.35">
      <c r="A11" s="2" t="s">
        <v>1062</v>
      </c>
      <c r="B11" s="2" t="s">
        <v>471</v>
      </c>
      <c r="C11" s="7" t="str">
        <f>HYPERLINK("https://tools.wmflabs.org/geohack/geohack.php?params=40.2856_N_28.7264_E_type:city","40.2856°N 28.7264°E")</f>
        <v>40.2856°N 28.7264°E</v>
      </c>
      <c r="D11" s="7" t="s">
        <v>1216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5" x14ac:dyDescent="0.35">
      <c r="A12" s="2" t="s">
        <v>1063</v>
      </c>
      <c r="B12" s="2" t="s">
        <v>472</v>
      </c>
      <c r="C12" s="7" t="str">
        <f>HYPERLINK("https://tools.wmflabs.org/geohack/geohack.php?params=40.3118_N_28.7541_E_type:city","40.3118°N 28.7541°E")</f>
        <v>40.3118°N 28.7541°E</v>
      </c>
      <c r="D12" s="7" t="s">
        <v>1216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5" x14ac:dyDescent="0.35">
      <c r="A13" s="2" t="s">
        <v>1064</v>
      </c>
      <c r="B13" s="2" t="s">
        <v>473</v>
      </c>
      <c r="C13" s="7" t="str">
        <f>HYPERLINK("https://tools.wmflabs.org/geohack/geohack.php?params=40.3501_N_28.7357_E_type:city","40.3501°N 28.7357°E")</f>
        <v>40.3501°N 28.7357°E</v>
      </c>
      <c r="D13" s="7" t="s">
        <v>1216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5" x14ac:dyDescent="0.35">
      <c r="A14" s="2" t="s">
        <v>1065</v>
      </c>
      <c r="B14" s="2" t="s">
        <v>396</v>
      </c>
      <c r="C14" s="7" t="str">
        <f>HYPERLINK("https://tools.wmflabs.org/geohack/geohack.php?params=40.3432_N_28.6760_E_type:city","40.3432°N 28.6760°E")</f>
        <v>40.3432°N 28.6760°E</v>
      </c>
      <c r="D14" s="7" t="s">
        <v>1216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5" x14ac:dyDescent="0.35">
      <c r="A15" s="2" t="s">
        <v>1066</v>
      </c>
      <c r="B15" s="2" t="s">
        <v>398</v>
      </c>
      <c r="C15" s="7" t="str">
        <f>HYPERLINK("https://tools.wmflabs.org/geohack/geohack.php?params=40.4070_N_28.7034_E_type:city","40.4070°N 28.7034°E")</f>
        <v>40.4070°N 28.7034°E</v>
      </c>
      <c r="D15" s="7" t="s">
        <v>1216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5" x14ac:dyDescent="0.35">
      <c r="A16" s="2" t="s">
        <v>1067</v>
      </c>
      <c r="B16" s="2" t="s">
        <v>474</v>
      </c>
      <c r="C16" s="7" t="str">
        <f>HYPERLINK("https://tools.wmflabs.org/geohack/geohack.php?params=40.3218_N_28.6162_E_type:city","40.3218°N 28.6162°E")</f>
        <v>40.3218°N 28.6162°E</v>
      </c>
      <c r="D16" s="7" t="s">
        <v>1216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5" x14ac:dyDescent="0.35">
      <c r="A17" s="2" t="s">
        <v>1068</v>
      </c>
      <c r="B17" s="2" t="s">
        <v>475</v>
      </c>
      <c r="C17" s="7" t="str">
        <f>HYPERLINK("https://tools.wmflabs.org/geohack/geohack.php?params=40.3474_N_28.6871_E_type:city","40.3474°N 28.6871°E")</f>
        <v>40.3474°N 28.6871°E</v>
      </c>
      <c r="D17" s="7" t="s">
        <v>1216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5" x14ac:dyDescent="0.35">
      <c r="A18" s="2" t="s">
        <v>1069</v>
      </c>
      <c r="B18" s="2" t="s">
        <v>476</v>
      </c>
      <c r="C18" s="7" t="str">
        <f>HYPERLINK("https://tools.wmflabs.org/geohack/geohack.php?params=40.3130_N_28.6560_E_type:city","40.3130°N 28.6560°E")</f>
        <v>40.3130°N 28.6560°E</v>
      </c>
      <c r="D18" s="7" t="s">
        <v>1216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5" x14ac:dyDescent="0.35">
      <c r="A19" s="2" t="s">
        <v>1070</v>
      </c>
      <c r="B19" s="2" t="s">
        <v>477</v>
      </c>
      <c r="C19" s="7" t="str">
        <f>HYPERLINK("https://tools.wmflabs.org/geohack/geohack.php?params=40.3242_N_28.9542_E_type:city","40.3242°N 28.9542°E")</f>
        <v>40.3242°N 28.9542°E</v>
      </c>
      <c r="D19" s="7" t="s">
        <v>1215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5" x14ac:dyDescent="0.35">
      <c r="A20" s="2" t="s">
        <v>1071</v>
      </c>
      <c r="B20" s="2" t="s">
        <v>478</v>
      </c>
      <c r="C20" s="7" t="str">
        <f>HYPERLINK("https://tools.wmflabs.org/geohack/geohack.php?params=40.3550_N_28.9368_E_type:city","40.3550°N 28.9368°E")</f>
        <v>40.3550°N 28.9368°E</v>
      </c>
      <c r="D20" s="7" t="s">
        <v>1215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35">
      <c r="A21" s="2" t="s">
        <v>1072</v>
      </c>
      <c r="B21" s="2" t="s">
        <v>479</v>
      </c>
      <c r="C21" s="7" t="str">
        <f>HYPERLINK("https://tools.wmflabs.org/geohack/geohack.php?params=40.3543_N_28.9265_E_type:city","40.3543°N 28.9265°E")</f>
        <v>40.3543°N 28.9265°E</v>
      </c>
      <c r="D21" s="7" t="s">
        <v>1215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5">
      <c r="A22" s="2" t="s">
        <v>1073</v>
      </c>
      <c r="B22" s="2" t="s">
        <v>480</v>
      </c>
      <c r="C22" s="7" t="str">
        <f>HYPERLINK("https://tools.wmflabs.org/geohack/geohack.php?params=40.3558_N_28.9121_E_type:city","40.3558°N 28.9121°E")</f>
        <v>40.3558°N 28.9121°E</v>
      </c>
      <c r="D22" s="7" t="s">
        <v>1215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35">
      <c r="A23" s="2" t="s">
        <v>1074</v>
      </c>
      <c r="B23" s="2" t="s">
        <v>481</v>
      </c>
      <c r="C23" s="7" t="str">
        <f>HYPERLINK("https://tools.wmflabs.org/geohack/geohack.php?params=40.3563_N_28.9168_E_type:city","40.3563°N 28.9168°E")</f>
        <v>40.3563°N 28.9168°E</v>
      </c>
      <c r="D23" s="7" t="s">
        <v>1215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35">
      <c r="A24" s="2" t="s">
        <v>1075</v>
      </c>
      <c r="B24" s="2" t="s">
        <v>482</v>
      </c>
      <c r="C24" s="7" t="str">
        <f>HYPERLINK("https://tools.wmflabs.org/geohack/geohack.php?params=40.3706_N_28.8621_E_type:city","40.3706°N 28.8621°E")</f>
        <v>40.3706°N 28.8621°E</v>
      </c>
      <c r="D24" s="7" t="s">
        <v>1214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35">
      <c r="A25" s="2" t="s">
        <v>1076</v>
      </c>
      <c r="B25" s="2" t="s">
        <v>483</v>
      </c>
      <c r="C25" s="7" t="str">
        <f>HYPERLINK("https://tools.wmflabs.org/geohack/geohack.php?params=40.3490_N_28.7550_E_type:city","40.3490°N 28.7550°E")</f>
        <v>40.3490°N 28.7550°E</v>
      </c>
      <c r="D25" s="7" t="s">
        <v>1216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35">
      <c r="A26" s="2" t="s">
        <v>1077</v>
      </c>
      <c r="B26" s="2" t="s">
        <v>484</v>
      </c>
      <c r="C26" s="7" t="str">
        <f>HYPERLINK("https://tools.wmflabs.org/geohack/geohack.php?params=40.3754_N_28.8849_E_type:city","40.3754°N 28.8849°E")</f>
        <v>40.3754°N 28.8849°E</v>
      </c>
      <c r="D26" s="7" t="s">
        <v>1215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5">
      <c r="A27" s="2" t="s">
        <v>1078</v>
      </c>
      <c r="B27" s="2" t="s">
        <v>485</v>
      </c>
      <c r="C27" s="7" t="str">
        <f>HYPERLINK("https://tools.wmflabs.org/geohack/geohack.php?params=40.2862_N_28.8864_E_type:city","40.2862°N 28.8864°E")</f>
        <v>40.2862°N 28.8864°E</v>
      </c>
      <c r="D27" s="7" t="s">
        <v>1215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5">
      <c r="A28" s="2" t="s">
        <v>1079</v>
      </c>
      <c r="B28" s="2" t="s">
        <v>486</v>
      </c>
      <c r="C28" s="7" t="str">
        <f>HYPERLINK("https://tools.wmflabs.org/geohack/geohack.php?params=40.3010_N_28.7560_E_type:city","40.3010°N 28.7560°E")</f>
        <v>40.3010°N 28.7560°E</v>
      </c>
      <c r="D28" s="7" t="s">
        <v>1214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5">
      <c r="A29" s="2" t="s">
        <v>1080</v>
      </c>
      <c r="B29" s="2" t="s">
        <v>487</v>
      </c>
      <c r="C29" s="7" t="str">
        <f>HYPERLINK("https://tools.wmflabs.org/geohack/geohack.php?params=40.3260_N_28.8070_E_type:city","40.3260°N 28.8070°E")</f>
        <v>40.3260°N 28.8070°E</v>
      </c>
      <c r="D29" s="7" t="s">
        <v>1214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5">
      <c r="A30" s="2" t="s">
        <v>1081</v>
      </c>
      <c r="B30" s="2" t="s">
        <v>488</v>
      </c>
      <c r="C30" s="7" t="str">
        <f>HYPERLINK("https://tools.wmflabs.org/geohack/geohack.php?params=40.3210_N_28.7310_E_type:city","40.3210°N 28.7310°E")</f>
        <v>40.3210°N 28.7310°E</v>
      </c>
      <c r="D30" s="7" t="s">
        <v>1216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5">
      <c r="A31" s="2" t="s">
        <v>1082</v>
      </c>
      <c r="B31" s="2" t="s">
        <v>263</v>
      </c>
      <c r="C31" s="7" t="str">
        <f>HYPERLINK("https://tools.wmflabs.org/geohack/geohack.php?params=40.3500_N_28.7010_E_type:city","40.3500°N 28.7010°E")</f>
        <v>40.3500°N 28.7010°E</v>
      </c>
      <c r="D31" s="7" t="s">
        <v>1216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5">
      <c r="A32" s="2" t="s">
        <v>1083</v>
      </c>
      <c r="B32" s="2" t="s">
        <v>489</v>
      </c>
      <c r="C32" s="7" t="str">
        <f>HYPERLINK("https://tools.wmflabs.org/geohack/geohack.php?params=40.3845_N_28.8271_E_type:city","40.3845°N 28.8271°E")</f>
        <v>40.3845°N 28.8271°E</v>
      </c>
      <c r="D32" s="7" t="s">
        <v>1214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5">
      <c r="A33" s="2" t="s">
        <v>1084</v>
      </c>
      <c r="B33" s="2" t="s">
        <v>273</v>
      </c>
      <c r="C33" s="7" t="str">
        <f>HYPERLINK("https://tools.wmflabs.org/geohack/geohack.php?params=40.3320_N_28.7200_E_type:city","40.3320°N 28.7200°E")</f>
        <v>40.3320°N 28.7200°E</v>
      </c>
      <c r="D33" s="7" t="s">
        <v>1216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35">
      <c r="A34" s="2" t="s">
        <v>1085</v>
      </c>
      <c r="B34" s="2" t="s">
        <v>490</v>
      </c>
      <c r="C34" s="7" t="str">
        <f>HYPERLINK("https://tools.wmflabs.org/geohack/geohack.php?params=40.3020_N_28.7900_E_type:city","40.3020°N 28.7900°E")</f>
        <v>40.3020°N 28.7900°E</v>
      </c>
      <c r="D34" s="7" t="s">
        <v>1214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35">
      <c r="A35" s="2" t="s">
        <v>1086</v>
      </c>
      <c r="B35" s="2" t="s">
        <v>491</v>
      </c>
      <c r="C35" s="7" t="str">
        <f>HYPERLINK("https://tools.wmflabs.org/geohack/geohack.php?params=40.3480_N_28.8600_E_type:city","40.3480°N 28.8600°E")</f>
        <v>40.3480°N 28.8600°E</v>
      </c>
      <c r="D35" s="7" t="s">
        <v>1214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35">
      <c r="A36" s="2" t="s">
        <v>1087</v>
      </c>
      <c r="B36" s="2" t="s">
        <v>492</v>
      </c>
      <c r="C36" s="7" t="str">
        <f>HYPERLINK("https://tools.wmflabs.org/geohack/geohack.php?params=40.3776_N_28.8810_E_type:city","40.3776°N 28.8810°E")</f>
        <v>40.3776°N 28.8810°E</v>
      </c>
      <c r="D36" s="7" t="s">
        <v>1214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35">
      <c r="A37" s="2" t="s">
        <v>1088</v>
      </c>
      <c r="B37" s="2" t="s">
        <v>493</v>
      </c>
      <c r="C37" s="7" t="str">
        <f>HYPERLINK("https://tools.wmflabs.org/geohack/geohack.php?params=40.3751_N_28.8807_E_type:city","40.3751°N 28.8807°E")</f>
        <v>40.3751°N 28.8807°E</v>
      </c>
      <c r="D37" s="7" t="s">
        <v>1214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35">
      <c r="A38" s="2" t="s">
        <v>1089</v>
      </c>
      <c r="B38" s="2" t="s">
        <v>284</v>
      </c>
      <c r="C38" s="7" t="str">
        <f>HYPERLINK("https://tools.wmflabs.org/geohack/geohack.php?params=40.3180_N_28.8440_E_type:city","40.3180°N 28.8440°E")</f>
        <v>40.3180°N 28.8440°E</v>
      </c>
      <c r="D38" s="7" t="s">
        <v>1214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35">
      <c r="A39" s="2" t="s">
        <v>1090</v>
      </c>
      <c r="B39" s="2" t="s">
        <v>494</v>
      </c>
      <c r="C39" s="7" t="str">
        <f>HYPERLINK("https://tools.wmflabs.org/geohack/geohack.php?params=40.4020_N_28.7420_E_type:city","40.4020°N 28.7420°E")</f>
        <v>40.4020°N 28.7420°E</v>
      </c>
      <c r="D39" s="7" t="s">
        <v>1216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35">
      <c r="A40" s="2" t="s">
        <v>1091</v>
      </c>
      <c r="B40" s="2" t="s">
        <v>495</v>
      </c>
      <c r="C40" s="7" t="str">
        <f>HYPERLINK("https://tools.wmflabs.org/geohack/geohack.php?params=40.3720_N_28.8800_E_type:city","40.3720°N 28.8800°E")</f>
        <v>40.3720°N 28.8800°E</v>
      </c>
      <c r="D40" s="7" t="s">
        <v>1214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35">
      <c r="A41" s="2" t="s">
        <v>1092</v>
      </c>
      <c r="B41" s="2" t="s">
        <v>496</v>
      </c>
      <c r="C41" s="7" t="str">
        <f>HYPERLINK("https://tools.wmflabs.org/geohack/geohack.php?params=40.3880_N_28.8170_E_type:city","40.3880°N 28.8170°E")</f>
        <v>40.3880°N 28.8170°E</v>
      </c>
      <c r="D41" s="7" t="s">
        <v>1214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35">
      <c r="A42" s="2" t="s">
        <v>1093</v>
      </c>
      <c r="B42" s="2" t="s">
        <v>497</v>
      </c>
      <c r="C42" s="7" t="str">
        <f>HYPERLINK("https://tools.wmflabs.org/geohack/geohack.php?params=40.3137_N_28.8777_E_type:city","40.3137°N 28.8777°E")</f>
        <v>40.3137°N 28.8777°E</v>
      </c>
      <c r="D42" s="7" t="s">
        <v>1214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35">
      <c r="A43" s="2" t="s">
        <v>1094</v>
      </c>
      <c r="B43" s="2" t="s">
        <v>498</v>
      </c>
      <c r="C43" s="7" t="str">
        <f>HYPERLINK("https://tools.wmflabs.org/geohack/geohack.php?params=40.3270_N_28.8470_E_type:city","40.3270°N 28.8470°E")</f>
        <v>40.3270°N 28.8470°E</v>
      </c>
      <c r="D43" s="7" t="s">
        <v>1214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35">
      <c r="A44" s="2" t="s">
        <v>1095</v>
      </c>
      <c r="B44" s="2" t="s">
        <v>499</v>
      </c>
      <c r="C44" s="7" t="str">
        <f>HYPERLINK("https://tools.wmflabs.org/geohack/geohack.php?params=40.3190_N_28.7340_E_type:city","40.3190°N 28.7340°E")</f>
        <v>40.3190°N 28.7340°E</v>
      </c>
      <c r="D44" s="7" t="s">
        <v>1216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35">
      <c r="A45" s="2" t="s">
        <v>1096</v>
      </c>
      <c r="B45" s="2" t="s">
        <v>278</v>
      </c>
      <c r="C45" s="7" t="str">
        <f>HYPERLINK("https://tools.wmflabs.org/geohack/geohack.php?params=40.3031_N_28.8142_E_type:city","40.3031°N 28.8142°E")</f>
        <v>40.3031°N 28.8142°E</v>
      </c>
      <c r="D45" s="7" t="s">
        <v>1214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35">
      <c r="A46" s="2" t="s">
        <v>1097</v>
      </c>
      <c r="B46" s="2" t="s">
        <v>334</v>
      </c>
      <c r="C46" s="7" t="str">
        <f>HYPERLINK("https://tools.wmflabs.org/geohack/geohack.php?params=40.3740_N_28.8840_E_type:city","40.3740°N 28.8840°E")</f>
        <v>40.3740°N 28.8840°E</v>
      </c>
      <c r="D46" s="7" t="s">
        <v>1215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35">
      <c r="A47" s="2" t="s">
        <v>1098</v>
      </c>
      <c r="B47" s="2" t="s">
        <v>500</v>
      </c>
      <c r="C47" s="7" t="str">
        <f>HYPERLINK("https://tools.wmflabs.org/geohack/geohack.php?params=40.3590_N_28.8250_E_type:city","40.3590°N 28.8250°E")</f>
        <v>40.3590°N 28.8250°E</v>
      </c>
      <c r="D47" s="7" t="s">
        <v>1214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35">
      <c r="A48" s="2" t="s">
        <v>1099</v>
      </c>
      <c r="B48" s="2" t="s">
        <v>501</v>
      </c>
      <c r="C48" s="7" t="str">
        <f>HYPERLINK("https://tools.wmflabs.org/geohack/geohack.php?params=40.3390_N_28.7160_E_type:city","40.3390°N 28.7160°E")</f>
        <v>40.3390°N 28.7160°E</v>
      </c>
      <c r="D48" s="7" t="s">
        <v>1216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7" type="noConversion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00"/>
  <sheetViews>
    <sheetView zoomScale="80" zoomScaleNormal="80" workbookViewId="0">
      <pane ySplit="1" topLeftCell="A2" activePane="bottomLeft" state="frozen"/>
      <selection pane="bottomLeft" activeCell="D1" sqref="D1:D1048576"/>
    </sheetView>
  </sheetViews>
  <sheetFormatPr defaultColWidth="20.6328125" defaultRowHeight="15" customHeight="1" x14ac:dyDescent="0.35"/>
  <cols>
    <col min="1" max="1" width="10.6328125" customWidth="1"/>
  </cols>
  <sheetData>
    <row r="1" spans="1:27" ht="14.5" x14ac:dyDescent="0.35">
      <c r="A1" s="1" t="s">
        <v>563</v>
      </c>
      <c r="B1" s="1" t="s">
        <v>0</v>
      </c>
      <c r="C1" s="1" t="s">
        <v>1</v>
      </c>
      <c r="D1" s="1" t="s">
        <v>1185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5" x14ac:dyDescent="0.35">
      <c r="A2" s="2" t="s">
        <v>1100</v>
      </c>
      <c r="B2" s="2" t="s">
        <v>502</v>
      </c>
      <c r="C2" s="7" t="str">
        <f>HYPERLINK("https://tools.wmflabs.org/geohack/geohack.php?params=40.2827_N_29.2889_E_type:city","40.2827°N 29.2889°E")</f>
        <v>40.2827°N 29.2889°E</v>
      </c>
      <c r="D2" s="7" t="s">
        <v>1217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5" x14ac:dyDescent="0.35">
      <c r="A3" s="2" t="s">
        <v>1101</v>
      </c>
      <c r="B3" s="2" t="s">
        <v>503</v>
      </c>
      <c r="C3" s="7" t="str">
        <f>HYPERLINK("https://tools.wmflabs.org/geohack/geohack.php?params=40.1972_N_29.2091_E_type:city","40.1972°N 29.2091°E")</f>
        <v>40.1972°N 29.2091°E</v>
      </c>
      <c r="D3" s="7" t="s">
        <v>1217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5" x14ac:dyDescent="0.35">
      <c r="A4" s="2" t="s">
        <v>1102</v>
      </c>
      <c r="B4" s="2" t="s">
        <v>504</v>
      </c>
      <c r="C4" s="7" t="str">
        <f>HYPERLINK("https://tools.wmflabs.org/geohack/geohack.php?params=40.1668_N_29.3177_E_type:city","40.1668°N 29.3177°E")</f>
        <v>40.1668°N 29.3177°E</v>
      </c>
      <c r="D4" s="7" t="s">
        <v>1218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5" x14ac:dyDescent="0.35">
      <c r="A5" s="2" t="s">
        <v>1103</v>
      </c>
      <c r="B5" s="2" t="s">
        <v>505</v>
      </c>
      <c r="C5" s="7" t="str">
        <f>HYPERLINK("https://tools.wmflabs.org/geohack/geohack.php?params=40.1258_N_29.2905_E_type:city","40.1258°N 29.2905°E")</f>
        <v>40.1258°N 29.2905°E</v>
      </c>
      <c r="D5" s="7" t="s">
        <v>1217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5" x14ac:dyDescent="0.35">
      <c r="A6" s="2" t="s">
        <v>1104</v>
      </c>
      <c r="B6" s="2" t="s">
        <v>506</v>
      </c>
      <c r="C6" s="7" t="str">
        <f>HYPERLINK("https://tools.wmflabs.org/geohack/geohack.php?params=40.1092_N_29.3700_E_type:city","40.1092°N 29.3700°E")</f>
        <v>40.1092°N 29.3700°E</v>
      </c>
      <c r="D6" s="7" t="s">
        <v>1218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5" x14ac:dyDescent="0.35">
      <c r="A7" s="2" t="s">
        <v>1105</v>
      </c>
      <c r="B7" s="2" t="s">
        <v>507</v>
      </c>
      <c r="C7" s="7" t="str">
        <f>HYPERLINK("https://tools.wmflabs.org/geohack/geohack.php?params=40.2365_N_29.2760_E_type:city","40.2365°N 29.2760°E")</f>
        <v>40.2365°N 29.2760°E</v>
      </c>
      <c r="D7" s="7" t="s">
        <v>1217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5" x14ac:dyDescent="0.35">
      <c r="A8" s="2" t="s">
        <v>1106</v>
      </c>
      <c r="B8" s="2" t="s">
        <v>49</v>
      </c>
      <c r="C8" s="7" t="str">
        <f>HYPERLINK("https://tools.wmflabs.org/geohack/geohack.php?params=40.1701_N_29.2402_E_type:city","40.1701°N 29.2402°E")</f>
        <v>40.1701°N 29.2402°E</v>
      </c>
      <c r="D8" s="7" t="s">
        <v>1217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5" x14ac:dyDescent="0.35">
      <c r="A9" s="2" t="s">
        <v>1107</v>
      </c>
      <c r="B9" s="2" t="s">
        <v>508</v>
      </c>
      <c r="C9" s="7" t="str">
        <f>HYPERLINK("https://tools.wmflabs.org/geohack/geohack.php?params=40.1978_N_29.2570_E_type:city","40.1978°N 29.2570°E")</f>
        <v>40.1978°N 29.2570°E</v>
      </c>
      <c r="D9" s="7" t="s">
        <v>1217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5" x14ac:dyDescent="0.35">
      <c r="A10" s="2" t="s">
        <v>1108</v>
      </c>
      <c r="B10" s="2" t="s">
        <v>509</v>
      </c>
      <c r="C10" s="7" t="str">
        <f>HYPERLINK("https://tools.wmflabs.org/geohack/geohack.php?params=40.1676_N_29.2183_E_type:city","40.1676°N 29.2183°E")</f>
        <v>40.1676°N 29.2183°E</v>
      </c>
      <c r="D10" s="7" t="s">
        <v>1217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5" x14ac:dyDescent="0.35">
      <c r="A11" s="2" t="s">
        <v>1109</v>
      </c>
      <c r="B11" s="2" t="s">
        <v>510</v>
      </c>
      <c r="C11" s="7" t="str">
        <f>HYPERLINK("https://tools.wmflabs.org/geohack/geohack.php?params=40.2316_N_29.3149_E_type:city","40.2316°N 29.3149°E")</f>
        <v>40.2316°N 29.3149°E</v>
      </c>
      <c r="D11" s="7" t="s">
        <v>1218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5" x14ac:dyDescent="0.35">
      <c r="A12" s="2" t="s">
        <v>1110</v>
      </c>
      <c r="B12" s="2" t="s">
        <v>511</v>
      </c>
      <c r="C12" s="7" t="str">
        <f>HYPERLINK("https://tools.wmflabs.org/geohack/geohack.php?params=40.2056_N_29.3639_E_type:city","40.2056°N 29.3639°E")</f>
        <v>40.2056°N 29.3639°E</v>
      </c>
      <c r="D12" s="7" t="s">
        <v>1218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5" x14ac:dyDescent="0.35">
      <c r="A13" s="2" t="s">
        <v>1111</v>
      </c>
      <c r="B13" s="2" t="s">
        <v>117</v>
      </c>
      <c r="C13" s="7" t="str">
        <f>HYPERLINK("https://tools.wmflabs.org/geohack/geohack.php?params=40.2049_N_29.2292_E_type:city","40.2049°N 29.2292°E")</f>
        <v>40.2049°N 29.2292°E</v>
      </c>
      <c r="D13" s="7" t="s">
        <v>1217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5" x14ac:dyDescent="0.35">
      <c r="A14" s="2" t="s">
        <v>1112</v>
      </c>
      <c r="B14" s="2" t="s">
        <v>512</v>
      </c>
      <c r="C14" s="7" t="str">
        <f>HYPERLINK("https://tools.wmflabs.org/geohack/geohack.php?params=40.2187_N_29.3187_E_type:city","40.2187°N 29.3187°E")</f>
        <v>40.2187°N 29.3187°E</v>
      </c>
      <c r="D14" s="7" t="s">
        <v>1218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5" x14ac:dyDescent="0.35">
      <c r="A15" s="2" t="s">
        <v>1113</v>
      </c>
      <c r="B15" s="2" t="s">
        <v>513</v>
      </c>
      <c r="C15" s="7" t="str">
        <f>HYPERLINK("https://tools.wmflabs.org/geohack/geohack.php?params=40.2775_N_29.3794_E_type:city","40.2775°N 29.3794°E")</f>
        <v>40.2775°N 29.3794°E</v>
      </c>
      <c r="D15" s="7" t="s">
        <v>1218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5" x14ac:dyDescent="0.35">
      <c r="A16" s="2" t="s">
        <v>1114</v>
      </c>
      <c r="B16" s="2" t="s">
        <v>514</v>
      </c>
      <c r="C16" s="7" t="str">
        <f>HYPERLINK("https://tools.wmflabs.org/geohack/geohack.php?params=40.1541_N_29.2837_E_type:city","40.1541°N 29.2837°E")</f>
        <v>40.1541°N 29.2837°E</v>
      </c>
      <c r="D16" s="7" t="s">
        <v>1217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5" x14ac:dyDescent="0.35">
      <c r="A17" s="2" t="s">
        <v>1115</v>
      </c>
      <c r="B17" s="2" t="s">
        <v>515</v>
      </c>
      <c r="C17" s="7" t="str">
        <f>HYPERLINK("https://tools.wmflabs.org/geohack/geohack.php?params=40.2011_N_29.2139_E_type:city","40.2011°N 29.2139°E")</f>
        <v>40.2011°N 29.2139°E</v>
      </c>
      <c r="D17" s="7" t="s">
        <v>1217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5" x14ac:dyDescent="0.35">
      <c r="A18" s="2" t="s">
        <v>1116</v>
      </c>
      <c r="B18" s="2" t="s">
        <v>516</v>
      </c>
      <c r="C18" s="7" t="str">
        <f>HYPERLINK("https://tools.wmflabs.org/geohack/geohack.php?params=40.2598_N_29.3113_E_type:city","40.2598°N 29.3113°E")</f>
        <v>40.2598°N 29.3113°E</v>
      </c>
      <c r="D18" s="7" t="s">
        <v>1217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5" x14ac:dyDescent="0.35">
      <c r="A19" s="2" t="s">
        <v>1117</v>
      </c>
      <c r="B19" s="2" t="s">
        <v>517</v>
      </c>
      <c r="C19" s="7" t="str">
        <f>HYPERLINK("https://tools.wmflabs.org/geohack/geohack.php?params=40.1519_N_29.3489_E_type:city","40.1519°N 29.3489°E")</f>
        <v>40.1519°N 29.3489°E</v>
      </c>
      <c r="D19" s="7" t="s">
        <v>1218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5" x14ac:dyDescent="0.35">
      <c r="A20" s="2" t="s">
        <v>1118</v>
      </c>
      <c r="B20" s="2" t="s">
        <v>518</v>
      </c>
      <c r="C20" s="7" t="str">
        <f>HYPERLINK("https://tools.wmflabs.org/geohack/geohack.php?params=40.1280_N_29.3526_E_type:city","40.1280°N 29.3526°E")</f>
        <v>40.1280°N 29.3526°E</v>
      </c>
      <c r="D20" s="7" t="s">
        <v>1218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35">
      <c r="A21" s="2" t="s">
        <v>1119</v>
      </c>
      <c r="B21" s="2" t="s">
        <v>265</v>
      </c>
      <c r="C21" s="7" t="str">
        <f>HYPERLINK("https://tools.wmflabs.org/geohack/geohack.php?params=40.1403_N_29.3174_E_type:city","40.1403°N 29.3174°E")</f>
        <v>40.1403°N 29.3174°E</v>
      </c>
      <c r="D21" s="7" t="s">
        <v>1218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5">
      <c r="A22" s="2" t="s">
        <v>1120</v>
      </c>
      <c r="B22" s="2" t="s">
        <v>519</v>
      </c>
      <c r="C22" s="7" t="str">
        <f>HYPERLINK("https://tools.wmflabs.org/geohack/geohack.php?params=40.2408_N_29.2982_E_type:city","40.2408°N 29.2982°E")</f>
        <v>40.2408°N 29.2982°E</v>
      </c>
      <c r="D22" s="7" t="s">
        <v>1217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35">
      <c r="A23" s="2" t="s">
        <v>1121</v>
      </c>
      <c r="B23" s="2" t="s">
        <v>520</v>
      </c>
      <c r="C23" s="7" t="str">
        <f>HYPERLINK("https://tools.wmflabs.org/geohack/geohack.php?params=40.2746_N_29.3453_E_type:city","40.2746°N 29.3453°E")</f>
        <v>40.2746°N 29.3453°E</v>
      </c>
      <c r="D23" s="7" t="s">
        <v>1218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35">
      <c r="A24" s="2" t="s">
        <v>1122</v>
      </c>
      <c r="B24" s="2" t="s">
        <v>284</v>
      </c>
      <c r="C24" s="7" t="str">
        <f>HYPERLINK("https://tools.wmflabs.org/geohack/geohack.php?params=40.1458_N_29.2621_E_type:city","40.1458°N 29.2621°E")</f>
        <v>40.1458°N 29.2621°E</v>
      </c>
      <c r="D24" s="7" t="s">
        <v>1217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35">
      <c r="A25" s="2" t="s">
        <v>1123</v>
      </c>
      <c r="B25" s="2" t="s">
        <v>289</v>
      </c>
      <c r="C25" s="7" t="str">
        <f>HYPERLINK("https://tools.wmflabs.org/geohack/geohack.php?params=40.1485_N_29.2538_E_type:city","40.1485°N 29.2538°E")</f>
        <v>40.1485°N 29.2538°E</v>
      </c>
      <c r="D25" s="7" t="s">
        <v>1217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35">
      <c r="A26" s="2" t="s">
        <v>1124</v>
      </c>
      <c r="B26" s="2" t="s">
        <v>521</v>
      </c>
      <c r="C26" s="7" t="str">
        <f>HYPERLINK("https://tools.wmflabs.org/geohack/geohack.php?params=40.1488_N_29.2366_E_type:city","40.1488°N 29.2366°E")</f>
        <v>40.1488°N 29.2366°E</v>
      </c>
      <c r="D26" s="7" t="s">
        <v>1217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5">
      <c r="A27" s="2" t="s">
        <v>1125</v>
      </c>
      <c r="B27" s="2" t="s">
        <v>522</v>
      </c>
      <c r="C27" s="7" t="str">
        <f>HYPERLINK("https://tools.wmflabs.org/geohack/geohack.php?params=40.1146_N_29.3369_E_type:city","40.1146°N 29.3369°E")</f>
        <v>40.1146°N 29.3369°E</v>
      </c>
      <c r="D27" s="7" t="s">
        <v>1218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5">
      <c r="A28" s="2" t="s">
        <v>1126</v>
      </c>
      <c r="B28" s="2" t="s">
        <v>523</v>
      </c>
      <c r="C28" s="7" t="str">
        <f>HYPERLINK("https://tools.wmflabs.org/geohack/geohack.php?params=40.2264_N_29.2612_E_type:city","40.2264°N 29.2612°E")</f>
        <v>40.2264°N 29.2612°E</v>
      </c>
      <c r="D28" s="7" t="s">
        <v>1217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5">
      <c r="A29" s="2" t="s">
        <v>1127</v>
      </c>
      <c r="B29" s="2" t="s">
        <v>524</v>
      </c>
      <c r="C29" s="7" t="str">
        <f>HYPERLINK("https://tools.wmflabs.org/geohack/geohack.php?params=40.2191_N_29.3967_E_type:city","40.2191°N 29.3967°E")</f>
        <v>40.2191°N 29.3967°E</v>
      </c>
      <c r="D29" s="7" t="s">
        <v>1218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5">
      <c r="A30" s="2" t="s">
        <v>1128</v>
      </c>
      <c r="B30" s="2" t="s">
        <v>525</v>
      </c>
      <c r="C30" s="7" t="str">
        <f>HYPERLINK("https://tools.wmflabs.org/geohack/geohack.php?params=40.2020_N_29.4253_E_type:city","40.2020°N 29.4253°E")</f>
        <v>40.2020°N 29.4253°E</v>
      </c>
      <c r="D30" s="7" t="s">
        <v>1218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5">
      <c r="A31" s="2" t="s">
        <v>1129</v>
      </c>
      <c r="B31" s="2" t="s">
        <v>462</v>
      </c>
      <c r="C31" s="7" t="str">
        <f>HYPERLINK("https://tools.wmflabs.org/geohack/geohack.php?params=40.1360_N_29.3342_E_type:city","40.1360°N 29.3342°E")</f>
        <v>40.1360°N 29.3342°E</v>
      </c>
      <c r="D31" s="7" t="s">
        <v>1218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5">
      <c r="A32" s="2" t="s">
        <v>1130</v>
      </c>
      <c r="B32" s="2" t="s">
        <v>526</v>
      </c>
      <c r="C32" s="7" t="str">
        <f>HYPERLINK("https://tools.wmflabs.org/geohack/geohack.php?params=40.2063_N_29.3482_E_type:city","40.2063°N 29.3482°E")</f>
        <v>40.2063°N 29.3482°E</v>
      </c>
      <c r="D32" s="7" t="s">
        <v>1218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5">
      <c r="A33" s="2" t="s">
        <v>1131</v>
      </c>
      <c r="B33" s="2" t="s">
        <v>527</v>
      </c>
      <c r="C33" s="7" t="str">
        <f>HYPERLINK("https://tools.wmflabs.org/geohack/geohack.php?params=40.1666_N_29.3590_E_type:city","40.1666°N 29.3590°E")</f>
        <v>40.1666°N 29.3590°E</v>
      </c>
      <c r="D33" s="7" t="s">
        <v>1218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35">
      <c r="A34" s="2" t="s">
        <v>1132</v>
      </c>
      <c r="B34" s="2" t="s">
        <v>528</v>
      </c>
      <c r="C34" s="7" t="str">
        <f>HYPERLINK("https://tools.wmflabs.org/geohack/geohack.php?params=40.1979_N_29.2151_E_type:city","40.1979°N 29.2151°E")</f>
        <v>40.1979°N 29.2151°E</v>
      </c>
      <c r="D34" s="7" t="s">
        <v>1217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35">
      <c r="A35" s="2" t="s">
        <v>1133</v>
      </c>
      <c r="B35" s="2" t="s">
        <v>529</v>
      </c>
      <c r="C35" s="7" t="str">
        <f>HYPERLINK("https://tools.wmflabs.org/geohack/geohack.php?params=40.1891_N_29.4046_E_type:city","40.1891°N 29.4046°E")</f>
        <v>40.1891°N 29.4046°E</v>
      </c>
      <c r="D35" s="7" t="s">
        <v>1218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35">
      <c r="A36" s="2" t="s">
        <v>1134</v>
      </c>
      <c r="B36" s="2" t="s">
        <v>334</v>
      </c>
      <c r="C36" s="7" t="str">
        <f>HYPERLINK("https://tools.wmflabs.org/geohack/geohack.php?params=40.1908_N_29.2060_E_type:city","40.1908°N 29.2060°E")</f>
        <v>40.1908°N 29.2060°E</v>
      </c>
      <c r="D36" s="7" t="s">
        <v>1217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7" type="noConversion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00"/>
  <sheetViews>
    <sheetView zoomScale="80" zoomScaleNormal="80" workbookViewId="0">
      <pane ySplit="1" topLeftCell="A2" activePane="bottomLeft" state="frozen"/>
      <selection pane="bottomLeft" activeCell="D1" sqref="D1:D1048576"/>
    </sheetView>
  </sheetViews>
  <sheetFormatPr defaultColWidth="20.6328125" defaultRowHeight="15" customHeight="1" x14ac:dyDescent="0.35"/>
  <cols>
    <col min="1" max="1" width="10.6328125" customWidth="1"/>
  </cols>
  <sheetData>
    <row r="1" spans="1:27" ht="14.5" x14ac:dyDescent="0.35">
      <c r="A1" s="1" t="s">
        <v>563</v>
      </c>
      <c r="B1" s="1" t="s">
        <v>0</v>
      </c>
      <c r="C1" s="1" t="s">
        <v>1</v>
      </c>
      <c r="D1" s="1" t="s">
        <v>1185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5" x14ac:dyDescent="0.35">
      <c r="A2" s="2" t="s">
        <v>1135</v>
      </c>
      <c r="B2" s="2" t="s">
        <v>459</v>
      </c>
      <c r="C2" s="7" t="str">
        <f>HYPERLINK("https://tools.wmflabs.org/geohack/geohack.php?params=40.1808_N_29.2260_E_type:city","40.1808°N 29.2260°E")</f>
        <v>40.1808°N 29.2260°E</v>
      </c>
      <c r="D2" s="7" t="s">
        <v>1219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5" x14ac:dyDescent="0.35">
      <c r="A3" s="2" t="s">
        <v>1136</v>
      </c>
      <c r="B3" s="2" t="s">
        <v>531</v>
      </c>
      <c r="C3" s="7" t="str">
        <f>HYPERLINK("https://tools.wmflabs.org/geohack/geohack.php?params=40.1938_N_29.2368_E_type:city","40.1938°N 29.2368°E")</f>
        <v>40.1938°N 29.2368°E</v>
      </c>
      <c r="D3" s="7" t="s">
        <v>1219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5" x14ac:dyDescent="0.35">
      <c r="A4" s="2" t="s">
        <v>1137</v>
      </c>
      <c r="B4" s="2" t="s">
        <v>533</v>
      </c>
      <c r="C4" s="7" t="str">
        <f>HYPERLINK("https://tools.wmflabs.org/geohack/geohack.php?params=40.2168_N_29.2698_E_type:city","40.2168°N 29.2698°E")</f>
        <v>40.2168°N 29.2698°E</v>
      </c>
      <c r="D4" s="7" t="s">
        <v>1219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5" x14ac:dyDescent="0.35">
      <c r="A5" s="2" t="s">
        <v>1138</v>
      </c>
      <c r="B5" s="2" t="s">
        <v>536</v>
      </c>
      <c r="C5" s="7" t="str">
        <f>HYPERLINK("https://tools.wmflabs.org/geohack/geohack.php?params=40.2497_N_29.3215_E_type:city","40.2497°N 29.3215°E")</f>
        <v>40.2497°N 29.3215°E</v>
      </c>
      <c r="D5" s="7" t="s">
        <v>1219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5" x14ac:dyDescent="0.35">
      <c r="A6" s="2" t="s">
        <v>1139</v>
      </c>
      <c r="B6" s="2" t="s">
        <v>538</v>
      </c>
      <c r="C6" s="7" t="str">
        <f>HYPERLINK("https://tools.wmflabs.org/geohack/geohack.php?params=40.2445_N_29.2950_E_type:city","40.2445°N 29.2950°E")</f>
        <v>40.2445°N 29.2950°E</v>
      </c>
      <c r="D6" s="7" t="s">
        <v>1219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5" x14ac:dyDescent="0.35">
      <c r="A7" s="2" t="s">
        <v>1140</v>
      </c>
      <c r="B7" s="2" t="s">
        <v>541</v>
      </c>
      <c r="C7" s="7" t="str">
        <f>HYPERLINK("https://tools.wmflabs.org/geohack/geohack.php?params=40.2110_N_29.2335_E_type:city","40.2110°N 29.2335°E")</f>
        <v>40.2110°N 29.2335°E</v>
      </c>
      <c r="D7" s="7" t="s">
        <v>1219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5" x14ac:dyDescent="0.35">
      <c r="A8" s="2" t="s">
        <v>1141</v>
      </c>
      <c r="B8" s="2" t="s">
        <v>543</v>
      </c>
      <c r="C8" s="7" t="str">
        <f>HYPERLINK("https://tools.wmflabs.org/geohack/geohack.php?params=40.2215_N_29.2530_E_type:city","40.2215°N 29.2530°E")</f>
        <v>40.2215°N 29.2530°E</v>
      </c>
      <c r="D8" s="7" t="s">
        <v>1219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5" x14ac:dyDescent="0.35">
      <c r="A9" s="2" t="s">
        <v>1142</v>
      </c>
      <c r="B9" s="2" t="s">
        <v>545</v>
      </c>
      <c r="C9" s="7" t="str">
        <f>HYPERLINK("https://tools.wmflabs.org/geohack/geohack.php?params=40.1918_N_29.2045_E_type:city","40.1918°N 29.2045°E")</f>
        <v>40.1918°N 29.2045°E</v>
      </c>
      <c r="D9" s="7" t="s">
        <v>1219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5" x14ac:dyDescent="0.35">
      <c r="A10" s="2" t="s">
        <v>1143</v>
      </c>
      <c r="B10" s="2" t="s">
        <v>277</v>
      </c>
      <c r="C10" s="7" t="str">
        <f>HYPERLINK("https://tools.wmflabs.org/geohack/geohack.php?params=40.1855_N_29.2065_E_type:city","40.1855°N 29.2065°E")</f>
        <v>40.1855°N 29.2065°E</v>
      </c>
      <c r="D10" s="7" t="s">
        <v>1219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5" x14ac:dyDescent="0.35">
      <c r="A11" s="2" t="s">
        <v>1144</v>
      </c>
      <c r="B11" s="2" t="s">
        <v>548</v>
      </c>
      <c r="C11" s="7" t="str">
        <f>HYPERLINK("https://tools.wmflabs.org/geohack/geohack.php?params=40.2370_N_29.2790_E_type:city","40.2370°N 29.2790°E")</f>
        <v>40.2370°N 29.2790°E</v>
      </c>
      <c r="D11" s="7" t="s">
        <v>1219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5" x14ac:dyDescent="0.35">
      <c r="A12" s="2" t="s">
        <v>1145</v>
      </c>
      <c r="B12" s="2" t="s">
        <v>549</v>
      </c>
      <c r="C12" s="7" t="str">
        <f>HYPERLINK("https://tools.wmflabs.org/geohack/geohack.php?params=40.2035_N_29.2770_E_type:city","40.2035°N 29.2770°E")</f>
        <v>40.2035°N 29.2770°E</v>
      </c>
      <c r="D12" s="7" t="s">
        <v>1219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5" x14ac:dyDescent="0.35">
      <c r="A13" s="2" t="s">
        <v>1146</v>
      </c>
      <c r="B13" s="2" t="s">
        <v>551</v>
      </c>
      <c r="C13" s="7" t="str">
        <f>HYPERLINK("https://tools.wmflabs.org/geohack/geohack.php?params=40.1750_N_29.2810_E_type:city","40.1750°N 29.2810°E")</f>
        <v>40.1750°N 29.2810°E</v>
      </c>
      <c r="D13" s="7" t="s">
        <v>1219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5" x14ac:dyDescent="0.35">
      <c r="A14" s="2" t="s">
        <v>1147</v>
      </c>
      <c r="B14" s="2" t="s">
        <v>230</v>
      </c>
      <c r="C14" s="7" t="str">
        <f>HYPERLINK("https://tools.wmflabs.org/geohack/geohack.php?params=40.1960_N_29.2135_E_type:city","40.1960°N 29.2135°E")</f>
        <v>40.1960°N 29.2135°E</v>
      </c>
      <c r="D14" s="7" t="s">
        <v>1219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5" x14ac:dyDescent="0.35">
      <c r="A15" s="2" t="s">
        <v>1148</v>
      </c>
      <c r="B15" s="2" t="s">
        <v>554</v>
      </c>
      <c r="C15" s="7" t="str">
        <f>HYPERLINK("https://tools.wmflabs.org/geohack/geohack.php?params=40.1905_N_29.2165_E_type:city","40.1905°N 29.2165°E")</f>
        <v>40.1905°N 29.2165°E</v>
      </c>
      <c r="D15" s="7" t="s">
        <v>1219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5" x14ac:dyDescent="0.35">
      <c r="A16" s="2" t="s">
        <v>1149</v>
      </c>
      <c r="B16" s="2" t="s">
        <v>377</v>
      </c>
      <c r="C16" s="7" t="str">
        <f>HYPERLINK("https://tools.wmflabs.org/geohack/geohack.php?params=40.2020_N_29.2100_E_type:city","40.2020°N 29.2100°E")</f>
        <v>40.2020°N 29.2100°E</v>
      </c>
      <c r="D16" s="7" t="s">
        <v>1219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7" type="noConversion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00"/>
  <sheetViews>
    <sheetView zoomScale="80" zoomScaleNormal="80" workbookViewId="0">
      <pane ySplit="1" topLeftCell="A2" activePane="bottomLeft" state="frozen"/>
      <selection pane="bottomLeft" activeCell="D10" sqref="D10"/>
    </sheetView>
  </sheetViews>
  <sheetFormatPr defaultColWidth="20.6328125" defaultRowHeight="15" customHeight="1" x14ac:dyDescent="0.35"/>
  <cols>
    <col min="1" max="1" width="10.6328125" customWidth="1"/>
  </cols>
  <sheetData>
    <row r="1" spans="1:27" ht="14.5" x14ac:dyDescent="0.35">
      <c r="A1" s="1" t="s">
        <v>563</v>
      </c>
      <c r="B1" s="1" t="s">
        <v>0</v>
      </c>
      <c r="C1" s="1" t="s">
        <v>1</v>
      </c>
      <c r="D1" s="1" t="s">
        <v>1185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5" x14ac:dyDescent="0.35">
      <c r="A2" s="2" t="s">
        <v>1150</v>
      </c>
      <c r="B2" s="2" t="s">
        <v>530</v>
      </c>
      <c r="C2" s="7" t="str">
        <f>HYPERLINK("https://tools.wmflabs.org/geohack/geohack.php?params=40.3876_N_29.2054_E_type:city","40.3876°N 29.2054°E")</f>
        <v>40.3876°N 29.2054°E</v>
      </c>
      <c r="D2" s="7" t="s">
        <v>1220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5" x14ac:dyDescent="0.35">
      <c r="A3" s="2" t="s">
        <v>1151</v>
      </c>
      <c r="B3" s="2" t="s">
        <v>532</v>
      </c>
      <c r="C3" s="7" t="str">
        <f>HYPERLINK("https://tools.wmflabs.org/geohack/geohack.php?params=40.4201_N_29.1368_E_type:city","40.4201°N 29.1368°E")</f>
        <v>40.4201°N 29.1368°E</v>
      </c>
      <c r="D3" s="7" t="s">
        <v>1220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5" x14ac:dyDescent="0.35">
      <c r="A4" s="2" t="s">
        <v>1152</v>
      </c>
      <c r="B4" s="2" t="s">
        <v>534</v>
      </c>
      <c r="C4" s="7" t="str">
        <f>HYPERLINK("https://tools.wmflabs.org/geohack/geohack.php?params=40.4305_N_29.1562_E_type:city","40.4305°N 29.1562°E")</f>
        <v>40.4305°N 29.1562°E</v>
      </c>
      <c r="D4" s="7" t="s">
        <v>1220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5" x14ac:dyDescent="0.35">
      <c r="A5" s="2" t="s">
        <v>1153</v>
      </c>
      <c r="B5" s="2" t="s">
        <v>535</v>
      </c>
      <c r="C5" s="7" t="str">
        <f>HYPERLINK("https://tools.wmflabs.org/geohack/geohack.php?params=40.4791_N_29.0832_E_type:city","40.4791°N 29.0832°E")</f>
        <v>40.4791°N 29.0832°E</v>
      </c>
      <c r="D5" s="7" t="s">
        <v>1220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5" x14ac:dyDescent="0.35">
      <c r="A6" s="2" t="s">
        <v>1154</v>
      </c>
      <c r="B6" s="2" t="s">
        <v>537</v>
      </c>
      <c r="C6" s="7" t="str">
        <f>HYPERLINK("https://tools.wmflabs.org/geohack/geohack.php?params=40.4388_N_29.1993_E_type:city","40.4388°N 29.1993°E")</f>
        <v>40.4388°N 29.1993°E</v>
      </c>
      <c r="D6" s="7" t="s">
        <v>1220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5" x14ac:dyDescent="0.35">
      <c r="A7" s="2" t="s">
        <v>1155</v>
      </c>
      <c r="B7" s="2" t="s">
        <v>63</v>
      </c>
      <c r="C7" s="7" t="str">
        <f>HYPERLINK("https://tools.wmflabs.org/geohack/geohack.php?params=40.4309_N_29.1579_E_type:city","40.4309°N 29.1579°E")</f>
        <v>40.4309°N 29.1579°E</v>
      </c>
      <c r="D7" s="7" t="s">
        <v>1220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5" x14ac:dyDescent="0.35">
      <c r="A8" s="2" t="s">
        <v>1156</v>
      </c>
      <c r="B8" s="2" t="s">
        <v>539</v>
      </c>
      <c r="C8" s="7" t="str">
        <f>HYPERLINK("https://tools.wmflabs.org/geohack/geohack.php?params=40.4265_N_29.1577_E_type:city","40.4265°N 29.1577°E")</f>
        <v>40.4265°N 29.1577°E</v>
      </c>
      <c r="D8" s="7" t="s">
        <v>1220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5" x14ac:dyDescent="0.35">
      <c r="A9" s="2" t="s">
        <v>1157</v>
      </c>
      <c r="B9" s="2" t="s">
        <v>540</v>
      </c>
      <c r="C9" s="7" t="str">
        <f>HYPERLINK("https://tools.wmflabs.org/geohack/geohack.php?params=40.4319_N_29.1507_E_type:city","40.4319°N 29.1507°E")</f>
        <v>40.4319°N 29.1507°E</v>
      </c>
      <c r="D9" s="7" t="s">
        <v>1220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5" x14ac:dyDescent="0.35">
      <c r="A10" s="2" t="s">
        <v>1158</v>
      </c>
      <c r="B10" s="2" t="s">
        <v>542</v>
      </c>
      <c r="C10" s="7" t="str">
        <f>HYPERLINK("https://tools.wmflabs.org/geohack/geohack.php?params=40.3964_N_29.1367_E_type:city","40.3964°N 29.1367°E")</f>
        <v>40.3964°N 29.1367°E</v>
      </c>
      <c r="D10" s="7" t="s">
        <v>1220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5" x14ac:dyDescent="0.35">
      <c r="A11" s="2" t="s">
        <v>1159</v>
      </c>
      <c r="B11" s="2" t="s">
        <v>544</v>
      </c>
      <c r="C11" s="7" t="str">
        <f>HYPERLINK("https://tools.wmflabs.org/geohack/geohack.php?params=40.4293_N_29.1443_E_type:city","40.4293°N 29.1443°E")</f>
        <v>40.4293°N 29.1443°E</v>
      </c>
      <c r="D11" s="7" t="s">
        <v>1220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5" x14ac:dyDescent="0.35">
      <c r="A12" s="2" t="s">
        <v>1160</v>
      </c>
      <c r="B12" s="2" t="s">
        <v>137</v>
      </c>
      <c r="C12" s="7" t="str">
        <f>HYPERLINK("https://tools.wmflabs.org/geohack/geohack.php?params=40.3551_N_29.2825_E_type:city","40.3551°N 29.2825°E")</f>
        <v>40.3551°N 29.2825°E</v>
      </c>
      <c r="D12" s="7" t="s">
        <v>1220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5" x14ac:dyDescent="0.35">
      <c r="A13" s="2" t="s">
        <v>1161</v>
      </c>
      <c r="B13" s="2" t="s">
        <v>461</v>
      </c>
      <c r="C13" s="7" t="str">
        <f>HYPERLINK("https://tools.wmflabs.org/geohack/geohack.php?params=40.3391_N_29.3387_E_type:city","40.3391°N 29.3387°E")</f>
        <v>40.3391°N 29.3387°E</v>
      </c>
      <c r="D13" s="7" t="s">
        <v>1220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5" x14ac:dyDescent="0.35">
      <c r="A14" s="2" t="s">
        <v>1162</v>
      </c>
      <c r="B14" s="2" t="s">
        <v>546</v>
      </c>
      <c r="C14" s="7" t="str">
        <f>HYPERLINK("https://tools.wmflabs.org/geohack/geohack.php?params=40.3783_N_29.1009_E_type:city","40.3783°N 29.1009°E")</f>
        <v>40.3783°N 29.1009°E</v>
      </c>
      <c r="D14" s="7" t="s">
        <v>1220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5" x14ac:dyDescent="0.35">
      <c r="A15" s="2" t="s">
        <v>1163</v>
      </c>
      <c r="B15" s="2" t="s">
        <v>547</v>
      </c>
      <c r="C15" s="7" t="str">
        <f>HYPERLINK("https://tools.wmflabs.org/geohack/geohack.php?params=40.3833_N_29.2333_E_type:city","40.3833°N 29.2333°E")</f>
        <v>40.3833°N 29.2333°E</v>
      </c>
      <c r="D15" s="7" t="s">
        <v>1220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5" x14ac:dyDescent="0.35">
      <c r="A16" s="2" t="s">
        <v>1164</v>
      </c>
      <c r="B16" s="2" t="s">
        <v>482</v>
      </c>
      <c r="C16" s="7" t="str">
        <f>HYPERLINK("https://tools.wmflabs.org/geohack/geohack.php?params=40.4249_N_29.1521_E_type:city","40.4249°N 29.1521°E")</f>
        <v>40.4249°N 29.1521°E</v>
      </c>
      <c r="D16" s="7" t="s">
        <v>1220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5" x14ac:dyDescent="0.35">
      <c r="A17" s="2" t="s">
        <v>1165</v>
      </c>
      <c r="B17" s="2" t="s">
        <v>175</v>
      </c>
      <c r="C17" s="7" t="str">
        <f t="shared" ref="C17:C18" si="0">HYPERLINK("https://tools.wmflabs.org/geohack/geohack.php?params=40.3598_N_29.2493_E_type:city","40.3598°N 29.2493°E")</f>
        <v>40.3598°N 29.2493°E</v>
      </c>
      <c r="D17" s="7" t="s">
        <v>1220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5" x14ac:dyDescent="0.35">
      <c r="A18" s="2" t="s">
        <v>1166</v>
      </c>
      <c r="B18" s="2" t="s">
        <v>550</v>
      </c>
      <c r="C18" s="7" t="str">
        <f t="shared" si="0"/>
        <v>40.3598°N 29.2493°E</v>
      </c>
      <c r="D18" s="7" t="s">
        <v>1220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5" x14ac:dyDescent="0.35">
      <c r="A19" s="2" t="s">
        <v>1167</v>
      </c>
      <c r="B19" s="2" t="s">
        <v>552</v>
      </c>
      <c r="C19" s="7" t="str">
        <f>HYPERLINK("https://tools.wmflabs.org/geohack/geohack.php?params=40.5178_N_29.1235_E_type:city","40.5178°N 29.1235°E")</f>
        <v>40.5178°N 29.1235°E</v>
      </c>
      <c r="D19" s="7" t="s">
        <v>1220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5" x14ac:dyDescent="0.35">
      <c r="A20" s="2" t="s">
        <v>1168</v>
      </c>
      <c r="B20" s="2" t="s">
        <v>553</v>
      </c>
      <c r="C20" s="7" t="str">
        <f>HYPERLINK("https://tools.wmflabs.org/geohack/geohack.php?params=40.4332_N_29.1516_E_type:city","40.4332°N 29.1516°E")</f>
        <v>40.4332°N 29.1516°E</v>
      </c>
      <c r="D20" s="7" t="s">
        <v>1220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35">
      <c r="A21" s="2" t="s">
        <v>1169</v>
      </c>
      <c r="B21" s="2" t="s">
        <v>407</v>
      </c>
      <c r="C21" s="7" t="str">
        <f>HYPERLINK("https://tools.wmflabs.org/geohack/geohack.php?params=40.4794_N_29.0683_E_type:city","40.4794°N 29.0683°E")</f>
        <v>40.4794°N 29.0683°E</v>
      </c>
      <c r="D21" s="7" t="s">
        <v>1220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5">
      <c r="A22" s="2" t="s">
        <v>1170</v>
      </c>
      <c r="B22" s="2" t="s">
        <v>555</v>
      </c>
      <c r="C22" s="7" t="str">
        <f>HYPERLINK("https://tools.wmflabs.org/geohack/geohack.php?params=40.3649_N_29.2161_E_type:city","40.3649°N 29.2161°E")</f>
        <v>40.3649°N 29.2161°E</v>
      </c>
      <c r="D22" s="7" t="s">
        <v>1220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35">
      <c r="A23" s="2" t="s">
        <v>1171</v>
      </c>
      <c r="B23" s="2" t="s">
        <v>556</v>
      </c>
      <c r="C23" s="7" t="str">
        <f>HYPERLINK("https://tools.wmflabs.org/geohack/geohack.php?params=40.4258_N_29.1505_E_type:city","40.4258°N 29.1505°E")</f>
        <v>40.4258°N 29.1505°E</v>
      </c>
      <c r="D23" s="7" t="s">
        <v>1220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35">
      <c r="A24" s="2" t="s">
        <v>1172</v>
      </c>
      <c r="B24" s="2" t="s">
        <v>557</v>
      </c>
      <c r="C24" s="7" t="str">
        <f>HYPERLINK("https://tools.wmflabs.org/geohack/geohack.php?params=40.4940_N_29.0910_E_type:city","40.4940°N 29.0910°E")</f>
        <v>40.4940°N 29.0910°E</v>
      </c>
      <c r="D24" s="7" t="s">
        <v>1220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35">
      <c r="A25" s="2" t="s">
        <v>1173</v>
      </c>
      <c r="B25" s="2" t="s">
        <v>558</v>
      </c>
      <c r="C25" s="7" t="str">
        <f>HYPERLINK("https://tools.wmflabs.org/geohack/geohack.php?params=40.3644_N_29.1233_E_type:city","40.3644°N 29.1233°E")</f>
        <v>40.3644°N 29.1233°E</v>
      </c>
      <c r="D25" s="7" t="s">
        <v>1220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35">
      <c r="A26" s="2" t="s">
        <v>1174</v>
      </c>
      <c r="B26" s="2" t="s">
        <v>259</v>
      </c>
      <c r="C26" s="7" t="str">
        <f>HYPERLINK("https://tools.wmflabs.org/geohack/geohack.php?params=40.3599_N_29.0228_E_type:city","40.3599°N 29.0228°E")</f>
        <v>40.3599°N 29.0228°E</v>
      </c>
      <c r="D26" s="7" t="s">
        <v>1220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5">
      <c r="A27" s="2" t="s">
        <v>1175</v>
      </c>
      <c r="B27" s="2" t="s">
        <v>559</v>
      </c>
      <c r="C27" s="7" t="str">
        <f>HYPERLINK("https://tools.wmflabs.org/geohack/geohack.php?params=40.4774_N_29.1231_E_type:city","40.4774°N 29.1231°E")</f>
        <v>40.4774°N 29.1231°E</v>
      </c>
      <c r="D27" s="7" t="s">
        <v>1220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5">
      <c r="A28" s="2" t="s">
        <v>1176</v>
      </c>
      <c r="B28" s="2" t="s">
        <v>560</v>
      </c>
      <c r="C28" s="7" t="str">
        <f>HYPERLINK("https://tools.wmflabs.org/geohack/geohack.php?params=40.3635_N_29.1800_E_type:city","40.3635°N 29.1800°E")</f>
        <v>40.3635°N 29.1800°E</v>
      </c>
      <c r="D28" s="7" t="s">
        <v>1220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5">
      <c r="A29" s="2" t="s">
        <v>1177</v>
      </c>
      <c r="B29" s="2" t="s">
        <v>561</v>
      </c>
      <c r="C29" s="7" t="str">
        <f>HYPERLINK("https://tools.wmflabs.org/geohack/geohack.php?params=40.4805_N_29.0331_E_type:city","40.4805°N 29.0331°E")</f>
        <v>40.4805°N 29.0331°E</v>
      </c>
      <c r="D29" s="7" t="s">
        <v>1220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5">
      <c r="A30" s="2" t="s">
        <v>1178</v>
      </c>
      <c r="B30" s="2" t="s">
        <v>284</v>
      </c>
      <c r="C30" s="7" t="str">
        <f>HYPERLINK("https://tools.wmflabs.org/geohack/geohack.php?params=40.4247_N_29.1650_E_type:city","40.4247°N 29.1650°E")</f>
        <v>40.4247°N 29.1650°E</v>
      </c>
      <c r="D30" s="7" t="s">
        <v>1220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5">
      <c r="A31" s="2" t="s">
        <v>1179</v>
      </c>
      <c r="B31" s="2" t="s">
        <v>289</v>
      </c>
      <c r="C31" s="7" t="str">
        <f>HYPERLINK("https://tools.wmflabs.org/geohack/geohack.php?params=40.4301_N_29.1609_E_type:city","40.4301°N 29.1609°E")</f>
        <v>40.4301°N 29.1609°E</v>
      </c>
      <c r="D31" s="7" t="s">
        <v>1220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5">
      <c r="A32" s="2" t="s">
        <v>1180</v>
      </c>
      <c r="B32" s="2" t="s">
        <v>562</v>
      </c>
      <c r="C32" s="7" t="str">
        <f>HYPERLINK("https://tools.wmflabs.org/geohack/geohack.php?params=40.4656_N_29.2166_E_type:city","40.4656°N 29.2166°E")</f>
        <v>40.4656°N 29.2166°E</v>
      </c>
      <c r="D32" s="7" t="s">
        <v>1220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5">
      <c r="A33" s="2" t="s">
        <v>1181</v>
      </c>
      <c r="B33" s="2" t="s">
        <v>460</v>
      </c>
      <c r="C33" s="7" t="str">
        <f>HYPERLINK("https://tools.wmflabs.org/geohack/geohack.php?params=40.4070_N_29.1740_E_type:city","40.4070°N 29.1740°E")</f>
        <v>40.4070°N 29.1740°E</v>
      </c>
      <c r="D33" s="7" t="s">
        <v>1220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35">
      <c r="A34" s="2" t="s">
        <v>1182</v>
      </c>
      <c r="B34" s="2" t="s">
        <v>218</v>
      </c>
      <c r="C34" s="7" t="str">
        <f>HYPERLINK("https://tools.wmflabs.org/geohack/geohack.php?params=40.4115_N_29.1700_E_type:city","40.4115°N 29.1700°E")</f>
        <v>40.4115°N 29.1700°E</v>
      </c>
      <c r="D34" s="7" t="s">
        <v>1220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35">
      <c r="A35" s="2" t="s">
        <v>1183</v>
      </c>
      <c r="B35" s="2" t="s">
        <v>334</v>
      </c>
      <c r="C35" s="7" t="str">
        <f>HYPERLINK("https://tools.wmflabs.org/geohack/geohack.php?params=40.4285_N_29.1555_E_type:city","40.4285°N 29.1555°E")</f>
        <v>40.4285°N 29.1555°E</v>
      </c>
      <c r="D35" s="7" t="s">
        <v>1220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35">
      <c r="A36" s="2" t="s">
        <v>1184</v>
      </c>
      <c r="B36" s="2" t="s">
        <v>340</v>
      </c>
      <c r="C36" s="7" t="str">
        <f>HYPERLINK("https://tools.wmflabs.org/geohack/geohack.php?params=40.3798_N_29.1563_E_type:city","40.3798°N 29.1563°E")</f>
        <v>40.3798°N 29.1563°E</v>
      </c>
      <c r="D36" s="7" t="s">
        <v>1220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7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Yıldırım</vt:lpstr>
      <vt:lpstr>Osmangazi</vt:lpstr>
      <vt:lpstr>Nilüfer</vt:lpstr>
      <vt:lpstr>İnegöl</vt:lpstr>
      <vt:lpstr>Yenişehir</vt:lpstr>
      <vt:lpstr>Orhangazi</vt:lpstr>
      <vt:lpstr>Mudanya</vt:lpstr>
      <vt:lpstr>Kestel</vt:lpstr>
      <vt:lpstr>Gürsu</vt:lpstr>
      <vt:lpstr>Gemlik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AHMET EMİRHAN KORKMAZ</cp:lastModifiedBy>
  <dcterms:modified xsi:type="dcterms:W3CDTF">2026-09-02T09:47:18Z</dcterms:modified>
</cp:coreProperties>
</file>